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38cea2d6805ee06/Documentos/Pessoal e Família/Nuno Santos/Formação e Curriculo/Formação/UCP - Gestão de Projetos de Cooperação/Trabalho Final/"/>
    </mc:Choice>
  </mc:AlternateContent>
  <xr:revisionPtr revIDLastSave="1" documentId="11_3AD302B5579F21E9A8B0D98C00D7DDDF8C57BE82" xr6:coauthVersionLast="47" xr6:coauthVersionMax="47" xr10:uidLastSave="{B4FEC2BA-4268-43B4-8DE4-7BB2BA4FE96A}"/>
  <bookViews>
    <workbookView xWindow="-108" yWindow="-108" windowWidth="23256" windowHeight="12456" tabRatio="500" activeTab="2" xr2:uid="{00000000-000D-0000-FFFF-FFFF00000000}"/>
  </bookViews>
  <sheets>
    <sheet name="0. Resumo" sheetId="1" r:id="rId1"/>
    <sheet name="1. RH por Pessoa" sheetId="2" r:id="rId2"/>
    <sheet name="2. Orçamento PRAG" sheetId="3" r:id="rId3"/>
    <sheet name="3. Justificação" sheetId="4" r:id="rId4"/>
    <sheet name="4. Financiament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6" i="3" l="1"/>
  <c r="F56" i="3"/>
  <c r="H56" i="3" s="1"/>
  <c r="H55" i="3"/>
  <c r="H57" i="3" s="1"/>
  <c r="B16" i="1" s="1"/>
  <c r="G55" i="3"/>
  <c r="G57" i="3" s="1"/>
  <c r="F55" i="3"/>
  <c r="G52" i="3"/>
  <c r="F52" i="3"/>
  <c r="H52" i="3" s="1"/>
  <c r="G51" i="3"/>
  <c r="F51" i="3"/>
  <c r="H51" i="3" s="1"/>
  <c r="H50" i="3"/>
  <c r="G50" i="3"/>
  <c r="F50" i="3"/>
  <c r="H49" i="3"/>
  <c r="G49" i="3"/>
  <c r="F49" i="3"/>
  <c r="G48" i="3"/>
  <c r="F48" i="3"/>
  <c r="H48" i="3" s="1"/>
  <c r="G47" i="3"/>
  <c r="F47" i="3"/>
  <c r="H47" i="3" s="1"/>
  <c r="H46" i="3"/>
  <c r="G46" i="3"/>
  <c r="F46" i="3"/>
  <c r="G45" i="3"/>
  <c r="G53" i="3" s="1"/>
  <c r="F45" i="3"/>
  <c r="F53" i="3" s="1"/>
  <c r="G43" i="3"/>
  <c r="G42" i="3"/>
  <c r="F42" i="3"/>
  <c r="H42" i="3" s="1"/>
  <c r="H41" i="3"/>
  <c r="G41" i="3"/>
  <c r="F41" i="3"/>
  <c r="H40" i="3"/>
  <c r="G40" i="3"/>
  <c r="F40" i="3"/>
  <c r="G39" i="3"/>
  <c r="F39" i="3"/>
  <c r="F43" i="3" s="1"/>
  <c r="F37" i="3"/>
  <c r="H36" i="3"/>
  <c r="G36" i="3"/>
  <c r="F36" i="3"/>
  <c r="G35" i="3"/>
  <c r="H35" i="3" s="1"/>
  <c r="F35" i="3"/>
  <c r="G34" i="3"/>
  <c r="F34" i="3"/>
  <c r="H34" i="3" s="1"/>
  <c r="G33" i="3"/>
  <c r="G37" i="3" s="1"/>
  <c r="F33" i="3"/>
  <c r="H33" i="3" s="1"/>
  <c r="H30" i="3"/>
  <c r="G30" i="3"/>
  <c r="F30" i="3"/>
  <c r="G29" i="3"/>
  <c r="G31" i="3" s="1"/>
  <c r="F29" i="3"/>
  <c r="F31" i="3" s="1"/>
  <c r="G25" i="3"/>
  <c r="H25" i="3" s="1"/>
  <c r="F25" i="3"/>
  <c r="G24" i="3"/>
  <c r="F24" i="3"/>
  <c r="H24" i="3" s="1"/>
  <c r="G23" i="3"/>
  <c r="G26" i="3" s="1"/>
  <c r="F23" i="3"/>
  <c r="H23" i="3" s="1"/>
  <c r="H26" i="3" s="1"/>
  <c r="H20" i="3"/>
  <c r="G20" i="3"/>
  <c r="F20" i="3"/>
  <c r="G19" i="3"/>
  <c r="F19" i="3"/>
  <c r="H19" i="3" s="1"/>
  <c r="G18" i="3"/>
  <c r="G21" i="3" s="1"/>
  <c r="F18" i="3"/>
  <c r="H18" i="3" s="1"/>
  <c r="H21" i="3" s="1"/>
  <c r="G15" i="3"/>
  <c r="H15" i="3" s="1"/>
  <c r="F15" i="3"/>
  <c r="G14" i="3"/>
  <c r="G16" i="3" s="1"/>
  <c r="F14" i="3"/>
  <c r="H14" i="3" s="1"/>
  <c r="H11" i="3"/>
  <c r="G11" i="3"/>
  <c r="F11" i="3"/>
  <c r="H10" i="3"/>
  <c r="G10" i="3"/>
  <c r="F10" i="3"/>
  <c r="G9" i="3"/>
  <c r="F9" i="3"/>
  <c r="H9" i="3" s="1"/>
  <c r="G8" i="3"/>
  <c r="G12" i="3" s="1"/>
  <c r="F8" i="3"/>
  <c r="H8" i="3" s="1"/>
  <c r="F26" i="2"/>
  <c r="F25" i="2"/>
  <c r="F24" i="2"/>
  <c r="F27" i="2" s="1"/>
  <c r="H18" i="2"/>
  <c r="H17" i="2"/>
  <c r="H16" i="2"/>
  <c r="H19" i="2" s="1"/>
  <c r="H13" i="2"/>
  <c r="H12" i="2"/>
  <c r="H14" i="2" s="1"/>
  <c r="H9" i="2"/>
  <c r="H8" i="2"/>
  <c r="H7" i="2"/>
  <c r="H6" i="2"/>
  <c r="H10" i="2" s="1"/>
  <c r="H12" i="3" l="1"/>
  <c r="H37" i="3"/>
  <c r="B13" i="1" s="1"/>
  <c r="G27" i="3"/>
  <c r="H16" i="3"/>
  <c r="H20" i="2"/>
  <c r="F28" i="2" s="1"/>
  <c r="F57" i="3"/>
  <c r="F12" i="3"/>
  <c r="H45" i="3"/>
  <c r="H53" i="3" s="1"/>
  <c r="B15" i="1" s="1"/>
  <c r="F16" i="3"/>
  <c r="F26" i="3"/>
  <c r="H29" i="3"/>
  <c r="H31" i="3" s="1"/>
  <c r="B12" i="1" s="1"/>
  <c r="H39" i="3"/>
  <c r="H43" i="3" s="1"/>
  <c r="B14" i="1" s="1"/>
  <c r="F21" i="3"/>
  <c r="H27" i="3" l="1"/>
  <c r="B11" i="1" s="1"/>
  <c r="H59" i="3"/>
  <c r="F27" i="3"/>
  <c r="H60" i="3"/>
  <c r="B18" i="1" l="1"/>
  <c r="B17" i="1"/>
  <c r="H61" i="3"/>
  <c r="B19" i="1" s="1"/>
  <c r="H62" i="3" l="1"/>
  <c r="H63" i="3" l="1"/>
  <c r="B21" i="1" s="1"/>
  <c r="B20" i="1"/>
  <c r="H64" i="3" l="1"/>
  <c r="B22" i="1" s="1"/>
  <c r="C22" i="1" l="1"/>
  <c r="C16" i="1"/>
  <c r="C12" i="1"/>
  <c r="C15" i="1"/>
  <c r="C14" i="1"/>
  <c r="C13" i="1"/>
  <c r="C11" i="1"/>
  <c r="C17" i="1"/>
  <c r="C18" i="1"/>
  <c r="C19" i="1"/>
  <c r="C20" i="1"/>
  <c r="C21" i="1"/>
</calcChain>
</file>

<file path=xl/sharedStrings.xml><?xml version="1.0" encoding="utf-8"?>
<sst xmlns="http://schemas.openxmlformats.org/spreadsheetml/2006/main" count="314" uniqueCount="262">
  <si>
    <t>PROJECTO ECHO ANGOLA — LITERACIA EM IA PARA O DESENVOLVIMENTO NACIONAL</t>
  </si>
  <si>
    <t>ORÇAMENTO — RESUMO EXECUTIVO  |  500 000 USD  |  12 meses  |  Set 2026 – Ago 2027</t>
  </si>
  <si>
    <t>Entidade Proponente</t>
  </si>
  <si>
    <t>CEPCEP / Universidade Católica Portuguesa</t>
  </si>
  <si>
    <t>País / Região</t>
  </si>
  <si>
    <t>Angola — Luanda (5 000 beneficiários directos)</t>
  </si>
  <si>
    <t>Entidade Financiadora</t>
  </si>
  <si>
    <t>UE / PNUD / Camões I.P.</t>
  </si>
  <si>
    <t>Duração</t>
  </si>
  <si>
    <t>12 meses — Set 2026 a Ago 2027</t>
  </si>
  <si>
    <t>Objectivo Geral</t>
  </si>
  <si>
    <t>Reforçar a literacia digital e em IA de 5 000 cidadãos angolanos via formação modular certificada</t>
  </si>
  <si>
    <t>RUBRICA PRAG</t>
  </si>
  <si>
    <t>USD</t>
  </si>
  <si>
    <t>% Total</t>
  </si>
  <si>
    <t>Descrição Sumária</t>
  </si>
  <si>
    <t>1. Recursos Humanos</t>
  </si>
  <si>
    <t>Equipa local Luanda (Coord.+1 Esp.Ped.+1 TIC+6 Assist.+Admin+Log.) + back office UCP Lisboa + per diems</t>
  </si>
  <si>
    <t>2. Viagens</t>
  </si>
  <si>
    <t>4 missões internacionais PT–Angola (A/R) + transportes locais em Luanda</t>
  </si>
  <si>
    <t>3. Equipamento e Materiais</t>
  </si>
  <si>
    <t>60 tablets + 2 servidores locais + material pedagógico + kits de formação</t>
  </si>
  <si>
    <t>4. Escritório do Projecto</t>
  </si>
  <si>
    <t>Luanda: arrendamento, veículo, comunicações, consumíveis (12 meses)</t>
  </si>
  <si>
    <t>5. Outras Despesas e Serviços</t>
  </si>
  <si>
    <t>50 ciclos de formação (300 sessões-módulo), auditoria, avaliação externa, tradução, comunicação, certificados</t>
  </si>
  <si>
    <t>6. Outros Custos Directos</t>
  </si>
  <si>
    <t>Plataforma digital offline (desenvolvimento) + certificação oficial MINTTICS/MED</t>
  </si>
  <si>
    <t>7.1 Subtotal Diretos (excl. Escritório)</t>
  </si>
  <si>
    <t>7.2 Subtotal Diretos Elegíveis (1–6)</t>
  </si>
  <si>
    <t>8. Custos Indiretos (7% × 7.1)</t>
  </si>
  <si>
    <t>9. Total Custos Elegíveis (7.2 + 8)</t>
  </si>
  <si>
    <t>10.1 Reserva para Imprevistos (≤ 5% de 7.2)</t>
  </si>
  <si>
    <t>11. TOTAL DOS CUSTOS ELEGÍVEIS DA ACÇÃO</t>
  </si>
  <si>
    <t>FONTES DE FINANCIAMENTO PREVISTAS</t>
  </si>
  <si>
    <t>A. Contribuição UE/PNUD (solicitada)</t>
  </si>
  <si>
    <t>80% dos custos elegíveis totais</t>
  </si>
  <si>
    <t>B. Cofinanciamento (UCP/CEPCEP + parceiros locais)</t>
  </si>
  <si>
    <t>UCP 10% (fundos próprios) + parceiros locais 10%</t>
  </si>
  <si>
    <t>TOTAL CONTRIBUIÇÕES (A + B)</t>
  </si>
  <si>
    <t>Equilibrado com total de custos elegíveis</t>
  </si>
  <si>
    <t>PROJECTO ECHO ANGOLA — RECURSOS HUMANOS: DESDOBRAMENTO POR PESSOA</t>
  </si>
  <si>
    <t>Entidade: CEPCEP/UCP  •  Angola — Luanda  •  12 meses (Set 2026–Ago 2027)  •  Moeda: USD</t>
  </si>
  <si>
    <t>Cód.</t>
  </si>
  <si>
    <t>Função / Cargo</t>
  </si>
  <si>
    <t>Tipo</t>
  </si>
  <si>
    <t>Local</t>
  </si>
  <si>
    <t>Venc.Bruto
Mensal (USD)</t>
  </si>
  <si>
    <t>% Afet.</t>
  </si>
  <si>
    <t>Meses</t>
  </si>
  <si>
    <t>Custo Total
(USD)</t>
  </si>
  <si>
    <t>Actividades Principais</t>
  </si>
  <si>
    <t>A. PESSOAL TÉCNICO LOCAL — Rubrica 1.1.1</t>
  </si>
  <si>
    <t>RH-01</t>
  </si>
  <si>
    <t>Coordenador(a) Operacional de Terreno</t>
  </si>
  <si>
    <t>Luanda</t>
  </si>
  <si>
    <t>Coord. geral no terreno; liaisons MINTTICS/MED/FAS/UAN; relatórios mensais (A.1, A.6, A.7)</t>
  </si>
  <si>
    <t>RH-02</t>
  </si>
  <si>
    <t>Especialista Pedagógico(a) — Luanda</t>
  </si>
  <si>
    <t>Desenvolvimento curricular; supervisão pedagógica; ToT Luanda (A.2, A.3, A.5)</t>
  </si>
  <si>
    <t>RH-03</t>
  </si>
  <si>
    <t>Técnico(a) TIC — Luanda</t>
  </si>
  <si>
    <t>Plataforma offline Luanda; manutenção tablets; formação técnica facilitadores (A.4)</t>
  </si>
  <si>
    <t>RH-04</t>
  </si>
  <si>
    <t>Assistente de Campo (×6 colaboradores)</t>
  </si>
  <si>
    <t>Mobilização comunitária; registo participantes; logística dos 50 ciclos de formação; recolha dados M&amp;A (A.5)</t>
  </si>
  <si>
    <t>SUBTOTAL A — Pessoal Técnico Local (1.1.1)</t>
  </si>
  <si>
    <t>B. PESSOAL ADMINISTRATIVO E DE APOIO — Rubrica 1.1.2</t>
  </si>
  <si>
    <t>RH-05</t>
  </si>
  <si>
    <t>Assistente Administrativo(a)-Financeiro(a)</t>
  </si>
  <si>
    <t>Gestão financeira diária; prestação de contas; compras e contratos locais</t>
  </si>
  <si>
    <t>RH-06</t>
  </si>
  <si>
    <t>Logístico(a) / Motorista</t>
  </si>
  <si>
    <t>Transporte equipa em Luanda; gestão armazém; apoio logístico aos 50 ciclos</t>
  </si>
  <si>
    <t>SUBTOTAL B — Pessoal Administrativo e Apoio (1.1.2)</t>
  </si>
  <si>
    <t>C. PESSOAL INTERNACIONAL / BACK OFFICE (Sede UCP Lisboa) — Rubrica 1.2</t>
  </si>
  <si>
    <t>RH-07</t>
  </si>
  <si>
    <t>Diretor(a) Técnico(a) do Projecto — UCP (30% ETI)</t>
  </si>
  <si>
    <t>Intern.</t>
  </si>
  <si>
    <t>Lisboa</t>
  </si>
  <si>
    <t>Dir. técnica (0.30 × 5 000 USD/mês); validação curricular; rel. doadores; supervisão (A.1)</t>
  </si>
  <si>
    <t>RH-08</t>
  </si>
  <si>
    <t>Gestora Financeira — UCP (20% ETI)</t>
  </si>
  <si>
    <t>Gestão financeira global (0.20 × 4 500 USD/mês); relatórios financeiros; auditoria interna</t>
  </si>
  <si>
    <t>RH-09</t>
  </si>
  <si>
    <t>Assessor(a) M&amp;A e Avaliação — UCP (15% ETI)</t>
  </si>
  <si>
    <t>M&amp;A (0.15 × 4 000 USD/mês); avaliações intercalares e finais; análise de impacto (A.6)</t>
  </si>
  <si>
    <t>SUBTOTAL C — Pessoal Internacional / Back Office (1.2)</t>
  </si>
  <si>
    <t>TOTAL SALÁRIOS (Rubricas 1.1 + 1.2)</t>
  </si>
  <si>
    <t>1.3 AJUDAS DE CUSTO PARA DESLOCAÇÕES EM SERVIÇO (Rubrica 1.3)</t>
  </si>
  <si>
    <t>Rubrica</t>
  </si>
  <si>
    <t>Descrição</t>
  </si>
  <si>
    <t>Unidade</t>
  </si>
  <si>
    <t>Qtd.</t>
  </si>
  <si>
    <t>Val.Unit.(USD)</t>
  </si>
  <si>
    <t>Total (USD)</t>
  </si>
  <si>
    <t>Notas (cols 7–12)</t>
  </si>
  <si>
    <t>1.3.1</t>
  </si>
  <si>
    <t>Ajudas de custo — missões internacionais (pessoal sede Lisboa)</t>
  </si>
  <si>
    <t>Por dia</t>
  </si>
  <si>
    <t>4 missões × 6 dias/missão — equipa UCP Lisboa</t>
  </si>
  <si>
    <t>1.3.2</t>
  </si>
  <si>
    <t>Ajudas de custo — deslocações locais em Luanda (pessoal terreno)</t>
  </si>
  <si>
    <t>~28 dias/mês × 12 meses — deslocações intra-cidade da equipa de terreno</t>
  </si>
  <si>
    <t>1.3.3</t>
  </si>
  <si>
    <t>Ajudas de custo — participantes ToT e seminários</t>
  </si>
  <si>
    <t>60 facilitadores × 10d ToT + workshops e eventos</t>
  </si>
  <si>
    <t>SUBTOTAL 1.3 — Ajudas de Custo</t>
  </si>
  <si>
    <t>Subtotal 1.3.1+1.3.2+1.3.3</t>
  </si>
  <si>
    <t>TOTAL RUBRICA 1 — RECURSOS HUMANOS (Salários + Ajudas de Custo)</t>
  </si>
  <si>
    <t>Total: 200 000 USD — coincide com a Rubrica 1 do Orçamento PRAG</t>
  </si>
  <si>
    <t>PROJECTO ECHO ANGOLA — ORÇAMENTO DA ACÇÃO (Estrutura PRAG / Anexo B)</t>
  </si>
  <si>
    <t>CEPCEP/UCP  •  Angola (Luanda)  •  12 meses (Set 2026–Ago 2027)  •  Moeda: USD — Azul: inputs; Preto: fórmulas</t>
  </si>
  <si>
    <t>RUBRICA ORÇAMENTAL</t>
  </si>
  <si>
    <t>Valor Unit.
(USD)</t>
  </si>
  <si>
    <t>Qtd.
M1–M6</t>
  </si>
  <si>
    <t>Qtd.
M7–M12</t>
  </si>
  <si>
    <t>Custo
M1–M6</t>
  </si>
  <si>
    <t>Custo
M7–M12</t>
  </si>
  <si>
    <t>Notas / Pressupostos</t>
  </si>
  <si>
    <t>1. RECURSOS HUMANOS</t>
  </si>
  <si>
    <t xml:space="preserve">   1.1 Salários brutos (pessoal local)</t>
  </si>
  <si>
    <t xml:space="preserve">   1.1.1 Pessoal técnico local</t>
  </si>
  <si>
    <t xml:space="preserve">      Coordenador(a) Operacional (RH-01)</t>
  </si>
  <si>
    <t>Por mês</t>
  </si>
  <si>
    <t>12m × 1 800 USD — coord. geral; liaisons MINTTICS/MED/FAS/UAN</t>
  </si>
  <si>
    <t xml:space="preserve">      Especialista Pedagógico(a) — Luanda (RH-02)</t>
  </si>
  <si>
    <t>12m × 1 500 USD — currículo; supervisão pedagógica Luanda</t>
  </si>
  <si>
    <t xml:space="preserve">      Técnico(a) TIC — Luanda (RH-03)</t>
  </si>
  <si>
    <t>12m × 1 200 USD — plataforma offline; suporte técnico Luanda</t>
  </si>
  <si>
    <t xml:space="preserve">      Assistentes de Campo (×6) (RH-04)</t>
  </si>
  <si>
    <t>Por p./mês</t>
  </si>
  <si>
    <t>6 pessoas × 12 meses × 900 USD — mobilização comunitária; logística dos ciclos; M&amp;A</t>
  </si>
  <si>
    <t>1.1.1 Subtotal Pessoal Técnico Local</t>
  </si>
  <si>
    <t xml:space="preserve">   1.1.2 Pessoal administrativo e de apoio local</t>
  </si>
  <si>
    <t xml:space="preserve">      Assist. Admin.-Financeiro(a) (RH-05)</t>
  </si>
  <si>
    <t>12m × 1 000 USD — gestão financeira; contratos; prestação de contas</t>
  </si>
  <si>
    <t xml:space="preserve">      Logístico(a) / Motorista (RH-06)</t>
  </si>
  <si>
    <t>12m × 800 USD — transporte equipa; armazém; apoio logístico aos 50 ciclos de formação</t>
  </si>
  <si>
    <t>1.1.2 Subtotal Pessoal Administrativo e Apoio</t>
  </si>
  <si>
    <t xml:space="preserve">   1.2 Pessoal internacional / back office (sede UCP Lisboa)</t>
  </si>
  <si>
    <t xml:space="preserve">      Dir. Técnico(a) Projecto — 30% ETI (RH-07)</t>
  </si>
  <si>
    <t>0.30×5 000 USD/mês×12m — dir. técnica; rel. doadores; supervisão</t>
  </si>
  <si>
    <t xml:space="preserve">      Gestora Financeira — 20% ETI (RH-08)</t>
  </si>
  <si>
    <t>0.20×4 500 USD/mês×12m — relatórios financeiros; auditoria interna</t>
  </si>
  <si>
    <t xml:space="preserve">      Assessor(a) M&amp;A — 15% ETI (RH-09)</t>
  </si>
  <si>
    <t>0.15×4 000 USD/mês×12m — M&amp;A; avaliações; análise de impacto</t>
  </si>
  <si>
    <t>1.2 Subtotal Pessoal Internacional</t>
  </si>
  <si>
    <t xml:space="preserve">   1.3 Ajudas de custo para deslocações em serviço</t>
  </si>
  <si>
    <t xml:space="preserve">      1.3.1 Missões internacionais (Lisboa–Luanda)</t>
  </si>
  <si>
    <t>24d × 150 USD — 4 missões × 6 dias — equipa UCP Lisboa</t>
  </si>
  <si>
    <t xml:space="preserve">      1.3.2 Deslocações locais em Luanda</t>
  </si>
  <si>
    <t>340d × 40 USD — equipa de terreno, deslocações intra-cidade (~28 d/mês)</t>
  </si>
  <si>
    <t xml:space="preserve">      1.3.3 Participantes ToT e seminários</t>
  </si>
  <si>
    <t>640d × 10 USD — 60 facilitadores em ToT e workshops</t>
  </si>
  <si>
    <t>1.3 Subtotal Ajudas de Custo</t>
  </si>
  <si>
    <t>SUBTOTAL 1. RECURSOS HUMANOS</t>
  </si>
  <si>
    <t>2. VIAGENS</t>
  </si>
  <si>
    <t xml:space="preserve">   2.1 Viagens internacionais (Lisboa–Luanda)</t>
  </si>
  <si>
    <t>Por voo</t>
  </si>
  <si>
    <t>4 voos × 2 000 USD — equipa UCP (missões de supervisão)</t>
  </si>
  <si>
    <t xml:space="preserve">   2.2 Transportes locais (equipa de terreno)</t>
  </si>
  <si>
    <t>12m × 1 000 USD — combustível; viaturas; deslocações em Luanda</t>
  </si>
  <si>
    <t>SUBTOTAL 2. VIAGENS</t>
  </si>
  <si>
    <t>3. EQUIPAMENTO E MATERIAIS</t>
  </si>
  <si>
    <t xml:space="preserve">   3.1 Tablets Android offline (60 unidades)</t>
  </si>
  <si>
    <t>Por unid.</t>
  </si>
  <si>
    <t>60×450 USD — SD 64GB, bateria longa duração; distribuição M5</t>
  </si>
  <si>
    <t xml:space="preserve">   3.2 Servidores NAS locais (Luanda)</t>
  </si>
  <si>
    <t>2×6 000 USD — gestão de conteúdos e back-up offline (redundância)</t>
  </si>
  <si>
    <t xml:space="preserve">   3.3 Material pedagógico impresso (6 módulos)</t>
  </si>
  <si>
    <t>Montante</t>
  </si>
  <si>
    <t>Manuais + guias facilitador + fichas avaliação — tiragem 6 000 ex.</t>
  </si>
  <si>
    <t xml:space="preserve">   3.4 Kits de formação (60 facilitadores)</t>
  </si>
  <si>
    <t>60 kits × ~333 USD — materiais; papelaria; consumíveis técnicos</t>
  </si>
  <si>
    <t>SUBTOTAL 3. EQUIPAMENTO E MATERIAIS</t>
  </si>
  <si>
    <t>4. ESCRITÓRIO DO PROJECTO</t>
  </si>
  <si>
    <t xml:space="preserve">   4.1 Combustível e manutenção veículo</t>
  </si>
  <si>
    <t>12m × 250 USD — veículo operacional Luanda</t>
  </si>
  <si>
    <t xml:space="preserve">   4.2 Arrendamento de escritório (Luanda)</t>
  </si>
  <si>
    <t>12m × 450 USD — espaço de trabalho equipa local</t>
  </si>
  <si>
    <t xml:space="preserve">   4.3 Consumíveis e material de escritório</t>
  </si>
  <si>
    <t>12m × 100 USD — papel; tinteiro; material corrente</t>
  </si>
  <si>
    <t xml:space="preserve">   4.4 Comunicações e serviços (tel./net/elect.)</t>
  </si>
  <si>
    <t>12m × 200 USD — pacotes dados; electricidade; manutenção</t>
  </si>
  <si>
    <t>SUBTOTAL 4. ESCRITÓRIO DO PROJECTO</t>
  </si>
  <si>
    <t>5. OUTRAS DESPESAS E SERVIÇOS</t>
  </si>
  <si>
    <t xml:space="preserve">   5.1 Publicações, seminários e relatórios de disseminação</t>
  </si>
  <si>
    <t>Relatório final; brochuras; 2 seminários de disseminação com parceiros</t>
  </si>
  <si>
    <t xml:space="preserve">   5.2 Aluguer de salas (50 ciclos × 800 USD)</t>
  </si>
  <si>
    <t>Por sessão</t>
  </si>
  <si>
    <t>50 ciclos de formação (6 sessões/ciclo, 24h) × 800 USD — salas em Luanda</t>
  </si>
  <si>
    <t xml:space="preserve">   5.3 Auditoria financeira externa (M6 + M12)</t>
  </si>
  <si>
    <t>2×4 000 USD — empresa certificada; auditoria intercalar (M6) e final (M12)</t>
  </si>
  <si>
    <t xml:space="preserve">   5.4 Avaliação externa independente (M7 + M11–M12)</t>
  </si>
  <si>
    <t>2×7 500 USD — avaliador externo; critérios CAD/OCDE; intermédia M7 e final M11–M12</t>
  </si>
  <si>
    <t xml:space="preserve">   5.5 Tradução, revisão e interpretação</t>
  </si>
  <si>
    <t>Revisão curricular; materiais bilíngues; relatórios ao doador</t>
  </si>
  <si>
    <t xml:space="preserve">   5.6 Serviços financeiros (garantia bancária, etc.)</t>
  </si>
  <si>
    <t>Custos bancários; comissões de gestão financeira internacional</t>
  </si>
  <si>
    <t xml:space="preserve">   5.7 Comunicação e visibilidade</t>
  </si>
  <si>
    <t>Site web; vídeo de disseminação; redes sociais; evento final M12 (≥100 participantes)</t>
  </si>
  <si>
    <t xml:space="preserve">   5.8 Impressão de certificados e emissão oficial</t>
  </si>
  <si>
    <t>M11 — 5 060 certificados oficiais (5 000 beneficiários + 60 facilitadores)</t>
  </si>
  <si>
    <t>SUBTOTAL 5. OUTRAS DESPESAS E SERVIÇOS</t>
  </si>
  <si>
    <t>6. OUTROS CUSTOS DIRECTOS</t>
  </si>
  <si>
    <t xml:space="preserve">   6.1 Desenvolvimento da plataforma digital offline</t>
  </si>
  <si>
    <t>Contrato</t>
  </si>
  <si>
    <t>Empresa TIC angolana — dev.; testes baixa conectividade; entrega M4</t>
  </si>
  <si>
    <t xml:space="preserve">   6.2 Certificação oficial MINTTICS/MED (acreditação programa)</t>
  </si>
  <si>
    <t>Taxas regulatórias e consultoria jurídica — acreditação formal do programa (M11)</t>
  </si>
  <si>
    <t>SUBTOTAL 6. OUTROS CUSTOS DIRECTOS</t>
  </si>
  <si>
    <t>7.1 Subtotal Custos Diretos Elegíveis (excl. Escritório — cat.4)</t>
  </si>
  <si>
    <t>Base de cálculo dos custos indiretos (7%)</t>
  </si>
  <si>
    <t>7.2 Subtotal Custos Diretos Elegíveis (1–6)</t>
  </si>
  <si>
    <t>Total de todos os custos diretos elegíveis</t>
  </si>
  <si>
    <t>8. Custos Indiretos (7% × 7.1 — limite PRAG)</t>
  </si>
  <si>
    <t>7% dos custos elegíveis excl. escritório</t>
  </si>
  <si>
    <t>9. Total Custos Elegíveis da Acção (7.2 + 8)</t>
  </si>
  <si>
    <t>10.1 Reserva para Imprevistos (≤ 5% de 7.2 — limite PRAG)</t>
  </si>
  <si>
    <t>Corresponde a 4,5% de 7.2 — dentro do limite PRAG de ≤5% (máx. permitido: 22 450 USD)</t>
  </si>
  <si>
    <t>11. TOTAL DOS CUSTOS ELEGÍVEIS DA ACÇÃO (9 + 10.1)</t>
  </si>
  <si>
    <t>Deve totalizar exactamente 500 000 USD</t>
  </si>
  <si>
    <t>JUSTIFICAÇÃO DO ORÇAMENTO DA ACÇÃO — PROJECTO ECHO ANGOLA</t>
  </si>
  <si>
    <t>Descrição dos Elementos Orçamentais</t>
  </si>
  <si>
    <t>Justificação do Cálculo dos Custos</t>
  </si>
  <si>
    <t>Equipa de terreno em Angola (Luanda): Coordenador Operacional, 1 Especialista Pedagógico, 1 Técnico TIC e 6 Assistentes de Campo (afetação 12 meses). Back office na sede UCP/CEPCEP em Lisboa: 3 pessoas em afetação parcial (15–30% ETI). Inclui ajudas de custo para deslocações internacionais e locais.</t>
  </si>
  <si>
    <t>Salários brutos (incl. encargos sociais): detalhados por pessoa na folha '1. RH por Pessoa'. Benchmark mercado angolano: técnicos 1 100–1 800 USD/mês; adm. 800–1 000 USD/mês. Sede UCP: custo efectivo da afetação parcial (15–30% × vencimento bruto). Ajudas de custo: 24d×150 + 340d×40 + 640d×10 USD = 23 600 USD. Total exacto: 200 000 USD.</t>
  </si>
  <si>
    <t>Voos internacionais Lisboa–Luanda para missões de supervisão técnica, monitorização e avaliação pela equipa de sede UCP. Transportes locais para deslocações da equipa de terreno em Luanda (combustível, táxis, deslocações às 50 salas de formação).</t>
  </si>
  <si>
    <t>4 voos internacionais × 2 000 USD = 8 000 USD (classe económica). Transportes locais: 12 meses × 1 000 USD = 12 000 USD (combustível veículo, táxis, deslocações em Luanda). Total: 20 000 USD.</t>
  </si>
  <si>
    <t>60 tablets Android robustos (conteúdos offline) distribuídos aos facilitadores; 2 servidores NAS locais em Luanda para gestão de conteúdos e back-up (redundância); material pedagógico impresso em português (6 módulos formativos, tiragem 6 000 ex.); kits de formação para os 60 facilitadores certificados.</t>
  </si>
  <si>
    <t>60 tablets × 450 USD = 27 000 USD (modelos robustos: SD 64GB, bateria ≥6h, compatíveis Android 10+). 2 servidores × 6 000 USD = 12 000 USD (NAS 4TB, UPS, instalação). Material impresso: 16 000 USD (gráfica local, 6 módulos × 6 000 exemplares + guias e fichas). Kits: 20 000 USD (60 × ~333 USD). Total: 75 000 USD.</t>
  </si>
  <si>
    <t>Custos operacionais do escritório local em Luanda: espaço de trabalho para a equipa (arrendamento), veículo operacional (combustível e manutenção), consumíveis de escritório, comunicações (pacote dados, voz), electricidade e manutenção geral. Excluído do cálculo de custos indiretos (cat. 4 PRAG).</t>
  </si>
  <si>
    <t>12m × (250+450+100+200) = 12 000 USD. Arrendamento sala comercial Luanda: 450 USD/mês (referência mercado Maianga). Veículo: 250 USD/mês (combustível + manutenção). Consumíveis: 100 USD. Comunicações: 200 USD. Total: 12 000 USD.</t>
  </si>
  <si>
    <t>Aluguer de salas para 50 ciclos de formação em Luanda (cada ciclo = 6 sessões de 4h; 800 USD/ciclo); auditoria financeira externa intercalar (M6) e final (M12); avaliação externa independente (intermédia M7 e final M11–M12); tradução e revisão técnica de materiais; comunicação e visibilidade (site, vídeo, evento final); impressão oficial de 5 000 certificados de beneficiários e 60 de facilitadores; publicações e seminários de disseminação.</t>
  </si>
  <si>
    <t>Salas: 50 ciclos × 800 = 40 000. Auditoria: 2 × 4 000 = 8 000. Avaliação externa: 2 × 7 500 = 15 000. Tradução: 6 000. Serviços financeiros: 2 000. Comunicação e visibilidade: 12 000. Certificados: 4 000. Publicações e seminários: 12 000. Total: 99 000 USD.</t>
  </si>
  <si>
    <t>Desenvolvimento e implementação da plataforma digital offline em português (compatível com ambientes de baixa ou nula conectividade) contratada a empresa TIC angolana. Processo de certificação e acreditação oficial do programa de formação junto do MED e MINTTICS, incluindo taxas regulatórias e consultoria jurídica.</t>
  </si>
  <si>
    <t>Plataforma offline: 35 000 USD (contrato empresa TIC angolana; desenvolvimento M1–M3; testes beta M4; entrega M5). Certificação MED/MINTTICS: 8 000 USD (taxas regulatórias; consultoria jurídica; acreditação formal). Total: 43 000 USD.</t>
  </si>
  <si>
    <t>8. Custos Indiretos</t>
  </si>
  <si>
    <t>Overhead e custos de estrutura institucional do CEPCEP/UCP não imputáveis directamente à acção (gestão institucional central, contabilidade, RH partilhados, infra-estrutura de sede).</t>
  </si>
  <si>
    <t>7% × 437 000 USD (7.1 — custos diretos excl. escritório) = 30 590 USD. Dentro do limite máximo PRAG de 7%. Calculado automaticamente na folha '2. Orçamento PRAG'.</t>
  </si>
  <si>
    <t>10.1 Reserva para Imprevistos</t>
  </si>
  <si>
    <t>Provisão para cobrir imprevistos cambiais (depreciação do Kwanza face ao USD), flutuações de preços locais, contingências logísticas em Luanda e situações não previstas ao longo dos 12 meses.</t>
  </si>
  <si>
    <t>20 410 USD = 500 000 − 479 590 USD. Representa 4,5% de 7.2 (449 000 USD), dentro do limite PRAG de ≤5% (máximo permitido: 22 450 USD). Provisiona riscos cambiais (Kwanza/USD), flutuações de preços locais e contingências logísticas.</t>
  </si>
  <si>
    <t>FONTES DE FINANCIAMENTO PREVISTAS — PROJECTO ECHO ANGOLA</t>
  </si>
  <si>
    <t>Fonte de Financiamento</t>
  </si>
  <si>
    <t>Condições / Natureza</t>
  </si>
  <si>
    <t>Montante (USD)</t>
  </si>
  <si>
    <t>% do Total</t>
  </si>
  <si>
    <t>Subvenção (grant) não reembolsável</t>
  </si>
  <si>
    <t>B. Cofinanciamento — Total</t>
  </si>
  <si>
    <t>Contribuições em numerário dos parceiros</t>
  </si>
  <si>
    <t xml:space="preserve">   B.1 UCP/CEPCEP (requerente)</t>
  </si>
  <si>
    <t>Fundos próprios da instituição proponente</t>
  </si>
  <si>
    <t xml:space="preserve">   B.2 Parceiros locais (FAS + UAN)</t>
  </si>
  <si>
    <t>Contribuições institucionais e valorização</t>
  </si>
  <si>
    <t>TOTAL CONTRIBUIÇÕES PREVISTAS (A + B)</t>
  </si>
  <si>
    <t>Equilibrado com os custos elegíveis totais</t>
  </si>
  <si>
    <t>RESUMO DOS CUSTOS</t>
  </si>
  <si>
    <t>C. Estimativa custos elegíveis totais (rubrica 11)</t>
  </si>
  <si>
    <t>Contribuição UE/PNUD em % dos custos elegíveis (A/C)</t>
  </si>
  <si>
    <t>Equilíbrio do quadro (A+B) −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</si>
</sst>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C9A84C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C9A84C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8B"/>
      <name val="Arial"/>
      <charset val="1"/>
    </font>
    <font>
      <i/>
      <sz val="8"/>
      <color rgb="FF000000"/>
      <name val="Arial"/>
      <charset val="1"/>
    </font>
    <font>
      <b/>
      <sz val="9"/>
      <color rgb="FF1F3864"/>
      <name val="Arial"/>
      <charset val="1"/>
    </font>
    <font>
      <i/>
      <sz val="8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F386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2F5496"/>
        <bgColor rgb="FF1F38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3" fontId="4" fillId="8" borderId="2" xfId="0" applyNumberFormat="1" applyFont="1" applyFill="1" applyBorder="1" applyAlignment="1">
      <alignment horizontal="right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3" fontId="7" fillId="7" borderId="2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3" fontId="13" fillId="3" borderId="2" xfId="0" applyNumberFormat="1" applyFont="1" applyFill="1" applyBorder="1" applyAlignment="1">
      <alignment horizontal="right" vertical="center"/>
    </xf>
    <xf numFmtId="9" fontId="12" fillId="3" borderId="2" xfId="0" applyNumberFormat="1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right" vertical="center"/>
    </xf>
    <xf numFmtId="3" fontId="13" fillId="3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3" fontId="7" fillId="8" borderId="2" xfId="0" applyNumberFormat="1" applyFont="1" applyFill="1" applyBorder="1" applyAlignment="1">
      <alignment horizontal="right" vertical="center"/>
    </xf>
    <xf numFmtId="164" fontId="7" fillId="8" borderId="2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50" customWidth="1"/>
    <col min="2" max="2" width="14" customWidth="1"/>
    <col min="3" max="3" width="10" customWidth="1"/>
    <col min="4" max="8" width="14" customWidth="1"/>
  </cols>
  <sheetData>
    <row r="1" spans="1:8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12" t="s">
        <v>2</v>
      </c>
      <c r="B4" s="12"/>
      <c r="C4" s="11" t="s">
        <v>3</v>
      </c>
      <c r="D4" s="11"/>
      <c r="E4" s="11"/>
      <c r="F4" s="11"/>
      <c r="G4" s="11"/>
      <c r="H4" s="11"/>
    </row>
    <row r="5" spans="1:8" ht="15" customHeight="1" x14ac:dyDescent="0.3">
      <c r="A5" s="12" t="s">
        <v>4</v>
      </c>
      <c r="B5" s="12"/>
      <c r="C5" s="11" t="s">
        <v>5</v>
      </c>
      <c r="D5" s="11"/>
      <c r="E5" s="11"/>
      <c r="F5" s="11"/>
      <c r="G5" s="11"/>
      <c r="H5" s="11"/>
    </row>
    <row r="6" spans="1:8" ht="15" customHeight="1" x14ac:dyDescent="0.3">
      <c r="A6" s="12" t="s">
        <v>6</v>
      </c>
      <c r="B6" s="12"/>
      <c r="C6" s="11" t="s">
        <v>7</v>
      </c>
      <c r="D6" s="11"/>
      <c r="E6" s="11"/>
      <c r="F6" s="11"/>
      <c r="G6" s="11"/>
      <c r="H6" s="11"/>
    </row>
    <row r="7" spans="1:8" ht="15" customHeight="1" x14ac:dyDescent="0.3">
      <c r="A7" s="12" t="s">
        <v>8</v>
      </c>
      <c r="B7" s="12"/>
      <c r="C7" s="11" t="s">
        <v>9</v>
      </c>
      <c r="D7" s="11"/>
      <c r="E7" s="11"/>
      <c r="F7" s="11"/>
      <c r="G7" s="11"/>
      <c r="H7" s="11"/>
    </row>
    <row r="8" spans="1:8" ht="15" customHeight="1" x14ac:dyDescent="0.3">
      <c r="A8" s="12" t="s">
        <v>10</v>
      </c>
      <c r="B8" s="12"/>
      <c r="C8" s="11" t="s">
        <v>11</v>
      </c>
      <c r="D8" s="11"/>
      <c r="E8" s="11"/>
      <c r="F8" s="11"/>
      <c r="G8" s="11"/>
      <c r="H8" s="11"/>
    </row>
    <row r="9" spans="1:8" ht="4.5" customHeight="1" x14ac:dyDescent="0.3"/>
    <row r="10" spans="1:8" ht="19.5" customHeight="1" x14ac:dyDescent="0.3">
      <c r="A10" s="15" t="s">
        <v>12</v>
      </c>
      <c r="B10" s="15" t="s">
        <v>13</v>
      </c>
      <c r="C10" s="15" t="s">
        <v>14</v>
      </c>
      <c r="D10" s="10" t="s">
        <v>15</v>
      </c>
      <c r="E10" s="10"/>
      <c r="F10" s="10"/>
      <c r="G10" s="10"/>
      <c r="H10" s="10"/>
    </row>
    <row r="11" spans="1:8" ht="15" customHeight="1" x14ac:dyDescent="0.3">
      <c r="A11" s="16" t="s">
        <v>16</v>
      </c>
      <c r="B11" s="17">
        <f>'2. Orçamento PRAG'!H27</f>
        <v>200000</v>
      </c>
      <c r="C11" s="18">
        <f>B11/B22</f>
        <v>0.4</v>
      </c>
      <c r="D11" s="9" t="s">
        <v>17</v>
      </c>
      <c r="E11" s="9"/>
      <c r="F11" s="9"/>
      <c r="G11" s="9"/>
      <c r="H11" s="9"/>
    </row>
    <row r="12" spans="1:8" ht="15" customHeight="1" x14ac:dyDescent="0.3">
      <c r="A12" s="19" t="s">
        <v>18</v>
      </c>
      <c r="B12" s="20">
        <f>'2. Orçamento PRAG'!H31</f>
        <v>20000</v>
      </c>
      <c r="C12" s="21">
        <f>B12/B22</f>
        <v>0.04</v>
      </c>
      <c r="D12" s="8" t="s">
        <v>19</v>
      </c>
      <c r="E12" s="8"/>
      <c r="F12" s="8"/>
      <c r="G12" s="8"/>
      <c r="H12" s="8"/>
    </row>
    <row r="13" spans="1:8" ht="15" customHeight="1" x14ac:dyDescent="0.3">
      <c r="A13" s="16" t="s">
        <v>20</v>
      </c>
      <c r="B13" s="17">
        <f>'2. Orçamento PRAG'!H37</f>
        <v>75000</v>
      </c>
      <c r="C13" s="18">
        <f>B13/B22</f>
        <v>0.15</v>
      </c>
      <c r="D13" s="9" t="s">
        <v>21</v>
      </c>
      <c r="E13" s="9"/>
      <c r="F13" s="9"/>
      <c r="G13" s="9"/>
      <c r="H13" s="9"/>
    </row>
    <row r="14" spans="1:8" ht="15" customHeight="1" x14ac:dyDescent="0.3">
      <c r="A14" s="19" t="s">
        <v>22</v>
      </c>
      <c r="B14" s="20">
        <f>'2. Orçamento PRAG'!H43</f>
        <v>12000</v>
      </c>
      <c r="C14" s="21">
        <f>B14/B22</f>
        <v>2.4E-2</v>
      </c>
      <c r="D14" s="8" t="s">
        <v>23</v>
      </c>
      <c r="E14" s="8"/>
      <c r="F14" s="8"/>
      <c r="G14" s="8"/>
      <c r="H14" s="8"/>
    </row>
    <row r="15" spans="1:8" ht="15" customHeight="1" x14ac:dyDescent="0.3">
      <c r="A15" s="16" t="s">
        <v>24</v>
      </c>
      <c r="B15" s="17">
        <f>'2. Orçamento PRAG'!H53</f>
        <v>99000</v>
      </c>
      <c r="C15" s="18">
        <f>B15/B22</f>
        <v>0.19800000000000001</v>
      </c>
      <c r="D15" s="9" t="s">
        <v>25</v>
      </c>
      <c r="E15" s="9"/>
      <c r="F15" s="9"/>
      <c r="G15" s="9"/>
      <c r="H15" s="9"/>
    </row>
    <row r="16" spans="1:8" ht="15" customHeight="1" x14ac:dyDescent="0.3">
      <c r="A16" s="19" t="s">
        <v>26</v>
      </c>
      <c r="B16" s="20">
        <f>'2. Orçamento PRAG'!H57</f>
        <v>43000</v>
      </c>
      <c r="C16" s="21">
        <f>B16/B22</f>
        <v>8.5999999999999993E-2</v>
      </c>
      <c r="D16" s="8" t="s">
        <v>27</v>
      </c>
      <c r="E16" s="8"/>
      <c r="F16" s="8"/>
      <c r="G16" s="8"/>
      <c r="H16" s="8"/>
    </row>
    <row r="17" spans="1:8" ht="15" customHeight="1" x14ac:dyDescent="0.3">
      <c r="A17" s="22" t="s">
        <v>28</v>
      </c>
      <c r="B17" s="23">
        <f>'2. Orçamento PRAG'!H59</f>
        <v>437000</v>
      </c>
      <c r="C17" s="24">
        <f>B17/B22</f>
        <v>0.874</v>
      </c>
      <c r="D17" s="7"/>
      <c r="E17" s="7"/>
      <c r="F17" s="7"/>
      <c r="G17" s="7"/>
      <c r="H17" s="7"/>
    </row>
    <row r="18" spans="1:8" ht="15" customHeight="1" x14ac:dyDescent="0.3">
      <c r="A18" s="22" t="s">
        <v>29</v>
      </c>
      <c r="B18" s="23">
        <f>'2. Orçamento PRAG'!H60</f>
        <v>449000</v>
      </c>
      <c r="C18" s="24">
        <f>B18/B22</f>
        <v>0.89800000000000002</v>
      </c>
      <c r="D18" s="7"/>
      <c r="E18" s="7"/>
      <c r="F18" s="7"/>
      <c r="G18" s="7"/>
      <c r="H18" s="7"/>
    </row>
    <row r="19" spans="1:8" ht="15" customHeight="1" x14ac:dyDescent="0.3">
      <c r="A19" s="25" t="s">
        <v>30</v>
      </c>
      <c r="B19" s="26">
        <f>'2. Orçamento PRAG'!H61</f>
        <v>30590</v>
      </c>
      <c r="C19" s="27">
        <f>B19/B22</f>
        <v>6.1179999999999998E-2</v>
      </c>
      <c r="D19" s="6"/>
      <c r="E19" s="6"/>
      <c r="F19" s="6"/>
      <c r="G19" s="6"/>
      <c r="H19" s="6"/>
    </row>
    <row r="20" spans="1:8" ht="15" customHeight="1" x14ac:dyDescent="0.3">
      <c r="A20" s="28" t="s">
        <v>31</v>
      </c>
      <c r="B20" s="29">
        <f>'2. Orçamento PRAG'!H62</f>
        <v>479590</v>
      </c>
      <c r="C20" s="30">
        <f>B20/B22</f>
        <v>0.95918000000000003</v>
      </c>
      <c r="D20" s="5"/>
      <c r="E20" s="5"/>
      <c r="F20" s="5"/>
      <c r="G20" s="5"/>
      <c r="H20" s="5"/>
    </row>
    <row r="21" spans="1:8" ht="15" customHeight="1" x14ac:dyDescent="0.3">
      <c r="A21" s="25" t="s">
        <v>32</v>
      </c>
      <c r="B21" s="26">
        <f>'2. Orçamento PRAG'!H63</f>
        <v>20410</v>
      </c>
      <c r="C21" s="27">
        <f>B21/B22</f>
        <v>4.0820000000000002E-2</v>
      </c>
      <c r="D21" s="6"/>
      <c r="E21" s="6"/>
      <c r="F21" s="6"/>
      <c r="G21" s="6"/>
      <c r="H21" s="6"/>
    </row>
    <row r="22" spans="1:8" ht="15" customHeight="1" x14ac:dyDescent="0.3">
      <c r="A22" s="31" t="s">
        <v>33</v>
      </c>
      <c r="B22" s="32">
        <f>'2. Orçamento PRAG'!H64</f>
        <v>500000</v>
      </c>
      <c r="C22" s="33">
        <f>B22/B22</f>
        <v>1</v>
      </c>
      <c r="D22" s="4"/>
      <c r="E22" s="4"/>
      <c r="F22" s="4"/>
      <c r="G22" s="4"/>
      <c r="H22" s="4"/>
    </row>
    <row r="24" spans="1:8" ht="15" customHeight="1" x14ac:dyDescent="0.3">
      <c r="A24" s="3" t="s">
        <v>34</v>
      </c>
      <c r="B24" s="3"/>
      <c r="C24" s="3"/>
      <c r="D24" s="3"/>
      <c r="E24" s="3"/>
      <c r="F24" s="3"/>
      <c r="G24" s="3"/>
      <c r="H24" s="3"/>
    </row>
    <row r="25" spans="1:8" ht="15" customHeight="1" x14ac:dyDescent="0.3">
      <c r="A25" s="34" t="s">
        <v>35</v>
      </c>
      <c r="B25" s="35">
        <v>400000</v>
      </c>
      <c r="C25" s="36">
        <v>0.8</v>
      </c>
      <c r="D25" s="2" t="s">
        <v>36</v>
      </c>
      <c r="E25" s="2"/>
      <c r="F25" s="2"/>
      <c r="G25" s="2"/>
      <c r="H25" s="2"/>
    </row>
    <row r="26" spans="1:8" ht="15" customHeight="1" x14ac:dyDescent="0.3">
      <c r="A26" s="34" t="s">
        <v>37</v>
      </c>
      <c r="B26" s="35">
        <v>100000</v>
      </c>
      <c r="C26" s="36">
        <v>0.2</v>
      </c>
      <c r="D26" s="2" t="s">
        <v>38</v>
      </c>
      <c r="E26" s="2"/>
      <c r="F26" s="2"/>
      <c r="G26" s="2"/>
      <c r="H26" s="2"/>
    </row>
    <row r="27" spans="1:8" ht="15" customHeight="1" x14ac:dyDescent="0.3">
      <c r="A27" s="37" t="s">
        <v>39</v>
      </c>
      <c r="B27" s="38">
        <v>500000</v>
      </c>
      <c r="C27" s="39">
        <v>1</v>
      </c>
      <c r="D27" s="1" t="s">
        <v>40</v>
      </c>
      <c r="E27" s="1"/>
      <c r="F27" s="1"/>
      <c r="G27" s="1"/>
      <c r="H27" s="1"/>
    </row>
  </sheetData>
  <mergeCells count="29">
    <mergeCell ref="D26:H26"/>
    <mergeCell ref="D27:H27"/>
    <mergeCell ref="D20:H20"/>
    <mergeCell ref="D21:H21"/>
    <mergeCell ref="D22:H22"/>
    <mergeCell ref="A24:H24"/>
    <mergeCell ref="D25:H25"/>
    <mergeCell ref="D15:H15"/>
    <mergeCell ref="D16:H16"/>
    <mergeCell ref="D17:H17"/>
    <mergeCell ref="D18:H18"/>
    <mergeCell ref="D19:H19"/>
    <mergeCell ref="D10:H10"/>
    <mergeCell ref="D11:H11"/>
    <mergeCell ref="D12:H12"/>
    <mergeCell ref="D13:H13"/>
    <mergeCell ref="D14:H14"/>
    <mergeCell ref="A6:B6"/>
    <mergeCell ref="C6:H6"/>
    <mergeCell ref="A7:B7"/>
    <mergeCell ref="C7:H7"/>
    <mergeCell ref="A8:B8"/>
    <mergeCell ref="C8:H8"/>
    <mergeCell ref="A1:H1"/>
    <mergeCell ref="A2:H2"/>
    <mergeCell ref="A4:B4"/>
    <mergeCell ref="C4:H4"/>
    <mergeCell ref="A5:B5"/>
    <mergeCell ref="C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zoomScaleNormal="100" workbookViewId="0">
      <pane ySplit="4" topLeftCell="A15" activePane="bottomLeft" state="frozen"/>
      <selection pane="bottomLeft" sqref="A1:L1"/>
    </sheetView>
  </sheetViews>
  <sheetFormatPr defaultColWidth="8.6640625" defaultRowHeight="14.4" x14ac:dyDescent="0.3"/>
  <cols>
    <col min="1" max="1" width="9" customWidth="1"/>
    <col min="2" max="2" width="32" customWidth="1"/>
    <col min="3" max="4" width="10" customWidth="1"/>
    <col min="5" max="5" width="13" customWidth="1"/>
    <col min="6" max="6" width="9" customWidth="1"/>
    <col min="7" max="7" width="8" customWidth="1"/>
    <col min="8" max="8" width="13" customWidth="1"/>
    <col min="9" max="9" width="28" customWidth="1"/>
  </cols>
  <sheetData>
    <row r="1" spans="1:12" ht="25.5" customHeight="1" x14ac:dyDescent="0.3">
      <c r="A1" s="69" t="s">
        <v>41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5" customHeight="1" x14ac:dyDescent="0.3">
      <c r="A2" s="70" t="s">
        <v>42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6" customHeight="1" x14ac:dyDescent="0.3"/>
    <row r="4" spans="1:12" ht="30" customHeight="1" x14ac:dyDescent="0.3">
      <c r="A4" s="40" t="s">
        <v>43</v>
      </c>
      <c r="B4" s="40" t="s">
        <v>44</v>
      </c>
      <c r="C4" s="40" t="s">
        <v>45</v>
      </c>
      <c r="D4" s="40" t="s">
        <v>46</v>
      </c>
      <c r="E4" s="40" t="s">
        <v>47</v>
      </c>
      <c r="F4" s="40" t="s">
        <v>48</v>
      </c>
      <c r="G4" s="40" t="s">
        <v>49</v>
      </c>
      <c r="H4" s="40" t="s">
        <v>50</v>
      </c>
      <c r="I4" s="71" t="s">
        <v>51</v>
      </c>
      <c r="J4" s="71"/>
      <c r="K4" s="71"/>
      <c r="L4" s="71"/>
    </row>
    <row r="5" spans="1:12" ht="15.75" customHeight="1" x14ac:dyDescent="0.3">
      <c r="A5" s="72" t="s">
        <v>52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ht="25.5" customHeight="1" x14ac:dyDescent="0.3">
      <c r="A6" s="41" t="s">
        <v>53</v>
      </c>
      <c r="B6" s="42" t="s">
        <v>54</v>
      </c>
      <c r="C6" s="43" t="s">
        <v>46</v>
      </c>
      <c r="D6" s="43" t="s">
        <v>55</v>
      </c>
      <c r="E6" s="44">
        <v>1800</v>
      </c>
      <c r="F6" s="45">
        <v>1</v>
      </c>
      <c r="G6" s="43">
        <v>12</v>
      </c>
      <c r="H6" s="46">
        <f>E6*F6*G6*1</f>
        <v>21600</v>
      </c>
      <c r="I6" s="73" t="s">
        <v>56</v>
      </c>
      <c r="J6" s="73"/>
      <c r="K6" s="73"/>
      <c r="L6" s="73"/>
    </row>
    <row r="7" spans="1:12" ht="25.5" customHeight="1" x14ac:dyDescent="0.3">
      <c r="A7" s="41" t="s">
        <v>57</v>
      </c>
      <c r="B7" s="42" t="s">
        <v>58</v>
      </c>
      <c r="C7" s="43" t="s">
        <v>46</v>
      </c>
      <c r="D7" s="43" t="s">
        <v>55</v>
      </c>
      <c r="E7" s="44">
        <v>1500</v>
      </c>
      <c r="F7" s="45">
        <v>1</v>
      </c>
      <c r="G7" s="43">
        <v>12</v>
      </c>
      <c r="H7" s="46">
        <f>E7*F7*G7*1</f>
        <v>18000</v>
      </c>
      <c r="I7" s="73" t="s">
        <v>59</v>
      </c>
      <c r="J7" s="73"/>
      <c r="K7" s="73"/>
      <c r="L7" s="73"/>
    </row>
    <row r="8" spans="1:12" ht="25.5" customHeight="1" x14ac:dyDescent="0.3">
      <c r="A8" s="41" t="s">
        <v>60</v>
      </c>
      <c r="B8" s="42" t="s">
        <v>61</v>
      </c>
      <c r="C8" s="43" t="s">
        <v>46</v>
      </c>
      <c r="D8" s="43" t="s">
        <v>55</v>
      </c>
      <c r="E8" s="44">
        <v>1200</v>
      </c>
      <c r="F8" s="45">
        <v>1</v>
      </c>
      <c r="G8" s="43">
        <v>12</v>
      </c>
      <c r="H8" s="46">
        <f>E8*F8*G8*1</f>
        <v>14400</v>
      </c>
      <c r="I8" s="73" t="s">
        <v>62</v>
      </c>
      <c r="J8" s="73"/>
      <c r="K8" s="73"/>
      <c r="L8" s="73"/>
    </row>
    <row r="9" spans="1:12" ht="25.5" customHeight="1" x14ac:dyDescent="0.3">
      <c r="A9" s="41" t="s">
        <v>63</v>
      </c>
      <c r="B9" s="42" t="s">
        <v>64</v>
      </c>
      <c r="C9" s="43" t="s">
        <v>46</v>
      </c>
      <c r="D9" s="43" t="s">
        <v>55</v>
      </c>
      <c r="E9" s="44">
        <v>900</v>
      </c>
      <c r="F9" s="45">
        <v>1</v>
      </c>
      <c r="G9" s="43">
        <v>12</v>
      </c>
      <c r="H9" s="46">
        <f>E9*F9*G9*6</f>
        <v>64800</v>
      </c>
      <c r="I9" s="73" t="s">
        <v>65</v>
      </c>
      <c r="J9" s="73"/>
      <c r="K9" s="73"/>
      <c r="L9" s="73"/>
    </row>
    <row r="10" spans="1:12" ht="15.75" customHeight="1" x14ac:dyDescent="0.3">
      <c r="A10" s="74" t="s">
        <v>66</v>
      </c>
      <c r="B10" s="74"/>
      <c r="C10" s="74"/>
      <c r="D10" s="74"/>
      <c r="E10" s="74"/>
      <c r="F10" s="74"/>
      <c r="G10" s="74"/>
      <c r="H10" s="29">
        <f>H6+H7+H8+H9</f>
        <v>118800</v>
      </c>
      <c r="I10" s="5"/>
      <c r="J10" s="5"/>
      <c r="K10" s="5"/>
      <c r="L10" s="5"/>
    </row>
    <row r="11" spans="1:12" ht="15.75" customHeight="1" x14ac:dyDescent="0.3">
      <c r="A11" s="72" t="s">
        <v>67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</row>
    <row r="12" spans="1:12" ht="25.5" customHeight="1" x14ac:dyDescent="0.3">
      <c r="A12" s="41" t="s">
        <v>68</v>
      </c>
      <c r="B12" s="42" t="s">
        <v>69</v>
      </c>
      <c r="C12" s="43" t="s">
        <v>46</v>
      </c>
      <c r="D12" s="43" t="s">
        <v>55</v>
      </c>
      <c r="E12" s="44">
        <v>1000</v>
      </c>
      <c r="F12" s="45">
        <v>1</v>
      </c>
      <c r="G12" s="43">
        <v>12</v>
      </c>
      <c r="H12" s="46">
        <f>E12*F12*G12*1</f>
        <v>12000</v>
      </c>
      <c r="I12" s="73" t="s">
        <v>70</v>
      </c>
      <c r="J12" s="73"/>
      <c r="K12" s="73"/>
      <c r="L12" s="73"/>
    </row>
    <row r="13" spans="1:12" ht="25.5" customHeight="1" x14ac:dyDescent="0.3">
      <c r="A13" s="41" t="s">
        <v>71</v>
      </c>
      <c r="B13" s="42" t="s">
        <v>72</v>
      </c>
      <c r="C13" s="43" t="s">
        <v>46</v>
      </c>
      <c r="D13" s="43" t="s">
        <v>55</v>
      </c>
      <c r="E13" s="44">
        <v>800</v>
      </c>
      <c r="F13" s="45">
        <v>1</v>
      </c>
      <c r="G13" s="43">
        <v>12</v>
      </c>
      <c r="H13" s="46">
        <f>E13*F13*G13*1</f>
        <v>9600</v>
      </c>
      <c r="I13" s="73" t="s">
        <v>73</v>
      </c>
      <c r="J13" s="73"/>
      <c r="K13" s="73"/>
      <c r="L13" s="73"/>
    </row>
    <row r="14" spans="1:12" ht="15.75" customHeight="1" x14ac:dyDescent="0.3">
      <c r="A14" s="74" t="s">
        <v>74</v>
      </c>
      <c r="B14" s="74"/>
      <c r="C14" s="74"/>
      <c r="D14" s="74"/>
      <c r="E14" s="74"/>
      <c r="F14" s="74"/>
      <c r="G14" s="74"/>
      <c r="H14" s="29">
        <f>H12+H13</f>
        <v>21600</v>
      </c>
      <c r="I14" s="5"/>
      <c r="J14" s="5"/>
      <c r="K14" s="5"/>
      <c r="L14" s="5"/>
    </row>
    <row r="15" spans="1:12" ht="15.75" customHeight="1" x14ac:dyDescent="0.3">
      <c r="A15" s="72" t="s">
        <v>75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spans="1:12" ht="25.5" customHeight="1" x14ac:dyDescent="0.3">
      <c r="A16" s="41" t="s">
        <v>76</v>
      </c>
      <c r="B16" s="42" t="s">
        <v>77</v>
      </c>
      <c r="C16" s="43" t="s">
        <v>78</v>
      </c>
      <c r="D16" s="43" t="s">
        <v>79</v>
      </c>
      <c r="E16" s="44">
        <v>1500</v>
      </c>
      <c r="F16" s="45">
        <v>1</v>
      </c>
      <c r="G16" s="43">
        <v>12</v>
      </c>
      <c r="H16" s="46">
        <f>E16*F16*G16*1</f>
        <v>18000</v>
      </c>
      <c r="I16" s="73" t="s">
        <v>80</v>
      </c>
      <c r="J16" s="73"/>
      <c r="K16" s="73"/>
      <c r="L16" s="73"/>
    </row>
    <row r="17" spans="1:12" ht="25.5" customHeight="1" x14ac:dyDescent="0.3">
      <c r="A17" s="41" t="s">
        <v>81</v>
      </c>
      <c r="B17" s="42" t="s">
        <v>82</v>
      </c>
      <c r="C17" s="43" t="s">
        <v>78</v>
      </c>
      <c r="D17" s="43" t="s">
        <v>79</v>
      </c>
      <c r="E17" s="44">
        <v>900</v>
      </c>
      <c r="F17" s="45">
        <v>1</v>
      </c>
      <c r="G17" s="43">
        <v>12</v>
      </c>
      <c r="H17" s="46">
        <f>E17*F17*G17*1</f>
        <v>10800</v>
      </c>
      <c r="I17" s="73" t="s">
        <v>83</v>
      </c>
      <c r="J17" s="73"/>
      <c r="K17" s="73"/>
      <c r="L17" s="73"/>
    </row>
    <row r="18" spans="1:12" ht="25.5" customHeight="1" x14ac:dyDescent="0.3">
      <c r="A18" s="41" t="s">
        <v>84</v>
      </c>
      <c r="B18" s="42" t="s">
        <v>85</v>
      </c>
      <c r="C18" s="43" t="s">
        <v>78</v>
      </c>
      <c r="D18" s="43" t="s">
        <v>79</v>
      </c>
      <c r="E18" s="44">
        <v>600</v>
      </c>
      <c r="F18" s="45">
        <v>1</v>
      </c>
      <c r="G18" s="43">
        <v>12</v>
      </c>
      <c r="H18" s="46">
        <f>E18*F18*G18*1</f>
        <v>7200</v>
      </c>
      <c r="I18" s="73" t="s">
        <v>86</v>
      </c>
      <c r="J18" s="73"/>
      <c r="K18" s="73"/>
      <c r="L18" s="73"/>
    </row>
    <row r="19" spans="1:12" ht="15.75" customHeight="1" x14ac:dyDescent="0.3">
      <c r="A19" s="74" t="s">
        <v>87</v>
      </c>
      <c r="B19" s="74"/>
      <c r="C19" s="74"/>
      <c r="D19" s="74"/>
      <c r="E19" s="74"/>
      <c r="F19" s="74"/>
      <c r="G19" s="74"/>
      <c r="H19" s="29">
        <f>H16+H17+H18</f>
        <v>36000</v>
      </c>
      <c r="I19" s="5"/>
      <c r="J19" s="5"/>
      <c r="K19" s="5"/>
      <c r="L19" s="5"/>
    </row>
    <row r="20" spans="1:12" ht="18" customHeight="1" x14ac:dyDescent="0.3">
      <c r="A20" s="75" t="s">
        <v>88</v>
      </c>
      <c r="B20" s="75"/>
      <c r="C20" s="75"/>
      <c r="D20" s="75"/>
      <c r="E20" s="75"/>
      <c r="F20" s="75"/>
      <c r="G20" s="75"/>
      <c r="H20" s="32">
        <f>H10+H14+H19</f>
        <v>176400</v>
      </c>
      <c r="I20" s="4"/>
      <c r="J20" s="4"/>
      <c r="K20" s="4"/>
      <c r="L20" s="4"/>
    </row>
    <row r="22" spans="1:12" ht="15.75" customHeight="1" x14ac:dyDescent="0.3">
      <c r="A22" s="72" t="s">
        <v>89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ht="21.75" customHeight="1" x14ac:dyDescent="0.3">
      <c r="A23" s="47" t="s">
        <v>90</v>
      </c>
      <c r="B23" s="47" t="s">
        <v>91</v>
      </c>
      <c r="C23" s="47" t="s">
        <v>92</v>
      </c>
      <c r="D23" s="47" t="s">
        <v>93</v>
      </c>
      <c r="E23" s="47" t="s">
        <v>94</v>
      </c>
      <c r="F23" s="47" t="s">
        <v>95</v>
      </c>
      <c r="G23" s="76" t="s">
        <v>96</v>
      </c>
      <c r="H23" s="76"/>
      <c r="I23" s="76"/>
      <c r="J23" s="76"/>
      <c r="K23" s="76"/>
      <c r="L23" s="76"/>
    </row>
    <row r="24" spans="1:12" ht="19.5" customHeight="1" x14ac:dyDescent="0.3">
      <c r="A24" s="41" t="s">
        <v>97</v>
      </c>
      <c r="B24" s="42" t="s">
        <v>98</v>
      </c>
      <c r="C24" s="43" t="s">
        <v>99</v>
      </c>
      <c r="D24" s="46">
        <v>24</v>
      </c>
      <c r="E24" s="46">
        <v>150</v>
      </c>
      <c r="F24" s="46">
        <f>D24*E24</f>
        <v>3600</v>
      </c>
      <c r="G24" s="73" t="s">
        <v>100</v>
      </c>
      <c r="H24" s="73"/>
      <c r="I24" s="73"/>
      <c r="J24" s="73"/>
      <c r="K24" s="73"/>
      <c r="L24" s="73"/>
    </row>
    <row r="25" spans="1:12" ht="19.5" customHeight="1" x14ac:dyDescent="0.3">
      <c r="A25" s="41" t="s">
        <v>101</v>
      </c>
      <c r="B25" s="42" t="s">
        <v>102</v>
      </c>
      <c r="C25" s="43" t="s">
        <v>99</v>
      </c>
      <c r="D25" s="46">
        <v>340</v>
      </c>
      <c r="E25" s="46">
        <v>40</v>
      </c>
      <c r="F25" s="46">
        <f>D25*E25</f>
        <v>13600</v>
      </c>
      <c r="G25" s="73" t="s">
        <v>103</v>
      </c>
      <c r="H25" s="73"/>
      <c r="I25" s="73"/>
      <c r="J25" s="73"/>
      <c r="K25" s="73"/>
      <c r="L25" s="73"/>
    </row>
    <row r="26" spans="1:12" ht="19.5" customHeight="1" x14ac:dyDescent="0.3">
      <c r="A26" s="41" t="s">
        <v>104</v>
      </c>
      <c r="B26" s="42" t="s">
        <v>105</v>
      </c>
      <c r="C26" s="43" t="s">
        <v>99</v>
      </c>
      <c r="D26" s="46">
        <v>640</v>
      </c>
      <c r="E26" s="46">
        <v>10</v>
      </c>
      <c r="F26" s="46">
        <f>D26*E26</f>
        <v>6400</v>
      </c>
      <c r="G26" s="73" t="s">
        <v>106</v>
      </c>
      <c r="H26" s="73"/>
      <c r="I26" s="73"/>
      <c r="J26" s="73"/>
      <c r="K26" s="73"/>
      <c r="L26" s="73"/>
    </row>
    <row r="27" spans="1:12" ht="15.75" customHeight="1" x14ac:dyDescent="0.3">
      <c r="A27" s="77" t="s">
        <v>107</v>
      </c>
      <c r="B27" s="77"/>
      <c r="C27" s="77"/>
      <c r="D27" s="77"/>
      <c r="E27" s="77"/>
      <c r="F27" s="48">
        <f>F24+F25+F26</f>
        <v>23600</v>
      </c>
      <c r="G27" s="78" t="s">
        <v>108</v>
      </c>
      <c r="H27" s="78"/>
      <c r="I27" s="78"/>
      <c r="J27" s="78"/>
      <c r="K27" s="78"/>
      <c r="L27" s="78"/>
    </row>
    <row r="28" spans="1:12" ht="18" customHeight="1" x14ac:dyDescent="0.3">
      <c r="A28" s="75" t="s">
        <v>109</v>
      </c>
      <c r="B28" s="75"/>
      <c r="C28" s="75"/>
      <c r="D28" s="75"/>
      <c r="E28" s="75"/>
      <c r="F28" s="32">
        <f>H20+F27</f>
        <v>200000</v>
      </c>
      <c r="G28" s="79" t="s">
        <v>110</v>
      </c>
      <c r="H28" s="79"/>
      <c r="I28" s="79"/>
      <c r="J28" s="79"/>
      <c r="K28" s="79"/>
      <c r="L28" s="79"/>
    </row>
  </sheetData>
  <mergeCells count="32">
    <mergeCell ref="G25:L25"/>
    <mergeCell ref="G26:L26"/>
    <mergeCell ref="A27:E27"/>
    <mergeCell ref="G27:L27"/>
    <mergeCell ref="A28:E28"/>
    <mergeCell ref="G28:L28"/>
    <mergeCell ref="A20:G20"/>
    <mergeCell ref="I20:L20"/>
    <mergeCell ref="A22:L22"/>
    <mergeCell ref="G23:L23"/>
    <mergeCell ref="G24:L24"/>
    <mergeCell ref="A15:L15"/>
    <mergeCell ref="I16:L16"/>
    <mergeCell ref="I17:L17"/>
    <mergeCell ref="I18:L18"/>
    <mergeCell ref="A19:G19"/>
    <mergeCell ref="I19:L19"/>
    <mergeCell ref="A11:L11"/>
    <mergeCell ref="I12:L12"/>
    <mergeCell ref="I13:L13"/>
    <mergeCell ref="A14:G14"/>
    <mergeCell ref="I14:L14"/>
    <mergeCell ref="I7:L7"/>
    <mergeCell ref="I8:L8"/>
    <mergeCell ref="I9:L9"/>
    <mergeCell ref="A10:G10"/>
    <mergeCell ref="I10:L10"/>
    <mergeCell ref="A1:L1"/>
    <mergeCell ref="A2:L2"/>
    <mergeCell ref="I4:L4"/>
    <mergeCell ref="A5:L5"/>
    <mergeCell ref="I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tabSelected="1" zoomScaleNormal="100" workbookViewId="0">
      <pane ySplit="4" topLeftCell="A48" activePane="bottomLeft" state="frozen"/>
      <selection pane="bottomLeft" sqref="A1:I1"/>
    </sheetView>
  </sheetViews>
  <sheetFormatPr defaultColWidth="8.6640625" defaultRowHeight="14.4" x14ac:dyDescent="0.3"/>
  <cols>
    <col min="1" max="1" width="40" customWidth="1"/>
    <col min="2" max="2" width="12" customWidth="1"/>
    <col min="3" max="3" width="13" customWidth="1"/>
    <col min="4" max="5" width="10" customWidth="1"/>
    <col min="6" max="7" width="13" customWidth="1"/>
    <col min="8" max="8" width="14" customWidth="1"/>
    <col min="9" max="9" width="61.6640625" bestFit="1" customWidth="1"/>
  </cols>
  <sheetData>
    <row r="1" spans="1:9" ht="25.5" customHeight="1" x14ac:dyDescent="0.3">
      <c r="A1" s="69" t="s">
        <v>111</v>
      </c>
      <c r="B1" s="69"/>
      <c r="C1" s="69"/>
      <c r="D1" s="69"/>
      <c r="E1" s="69"/>
      <c r="F1" s="69"/>
      <c r="G1" s="69"/>
      <c r="H1" s="69"/>
      <c r="I1" s="69"/>
    </row>
    <row r="2" spans="1:9" ht="15" customHeight="1" x14ac:dyDescent="0.3">
      <c r="A2" s="70" t="s">
        <v>112</v>
      </c>
      <c r="B2" s="70"/>
      <c r="C2" s="70"/>
      <c r="D2" s="70"/>
      <c r="E2" s="70"/>
      <c r="F2" s="70"/>
      <c r="G2" s="70"/>
      <c r="H2" s="70"/>
      <c r="I2" s="70"/>
    </row>
    <row r="3" spans="1:9" ht="6" customHeight="1" x14ac:dyDescent="0.3"/>
    <row r="4" spans="1:9" ht="36" customHeight="1" x14ac:dyDescent="0.3">
      <c r="A4" s="40" t="s">
        <v>113</v>
      </c>
      <c r="B4" s="40" t="s">
        <v>92</v>
      </c>
      <c r="C4" s="40" t="s">
        <v>114</v>
      </c>
      <c r="D4" s="40" t="s">
        <v>115</v>
      </c>
      <c r="E4" s="40" t="s">
        <v>116</v>
      </c>
      <c r="F4" s="40" t="s">
        <v>117</v>
      </c>
      <c r="G4" s="40" t="s">
        <v>118</v>
      </c>
      <c r="H4" s="40" t="s">
        <v>50</v>
      </c>
      <c r="I4" s="40" t="s">
        <v>119</v>
      </c>
    </row>
    <row r="5" spans="1:9" ht="15.75" customHeight="1" x14ac:dyDescent="0.3">
      <c r="A5" s="72" t="s">
        <v>120</v>
      </c>
      <c r="B5" s="72"/>
      <c r="C5" s="72"/>
      <c r="D5" s="72"/>
      <c r="E5" s="72"/>
      <c r="F5" s="72"/>
      <c r="G5" s="72"/>
      <c r="H5" s="72"/>
      <c r="I5" s="72"/>
    </row>
    <row r="6" spans="1:9" ht="15.75" customHeight="1" x14ac:dyDescent="0.3">
      <c r="A6" s="72" t="s">
        <v>121</v>
      </c>
      <c r="B6" s="72"/>
      <c r="C6" s="72"/>
      <c r="D6" s="72"/>
      <c r="E6" s="72"/>
      <c r="F6" s="72"/>
      <c r="G6" s="72"/>
      <c r="H6" s="72"/>
      <c r="I6" s="72"/>
    </row>
    <row r="7" spans="1:9" ht="15.75" customHeight="1" x14ac:dyDescent="0.3">
      <c r="A7" s="72" t="s">
        <v>122</v>
      </c>
      <c r="B7" s="72"/>
      <c r="C7" s="72"/>
      <c r="D7" s="72"/>
      <c r="E7" s="72"/>
      <c r="F7" s="72"/>
      <c r="G7" s="72"/>
      <c r="H7" s="72"/>
      <c r="I7" s="72"/>
    </row>
    <row r="8" spans="1:9" ht="19.5" customHeight="1" x14ac:dyDescent="0.3">
      <c r="A8" s="42" t="s">
        <v>123</v>
      </c>
      <c r="B8" s="43" t="s">
        <v>124</v>
      </c>
      <c r="C8" s="44">
        <v>1800</v>
      </c>
      <c r="D8" s="49">
        <v>6</v>
      </c>
      <c r="E8" s="49">
        <v>6</v>
      </c>
      <c r="F8" s="46">
        <f>C8*D8</f>
        <v>10800</v>
      </c>
      <c r="G8" s="46">
        <f>C8*E8</f>
        <v>10800</v>
      </c>
      <c r="H8" s="46">
        <f>F8+G8</f>
        <v>21600</v>
      </c>
      <c r="I8" s="50" t="s">
        <v>125</v>
      </c>
    </row>
    <row r="9" spans="1:9" ht="19.5" customHeight="1" x14ac:dyDescent="0.3">
      <c r="A9" s="42" t="s">
        <v>126</v>
      </c>
      <c r="B9" s="43" t="s">
        <v>124</v>
      </c>
      <c r="C9" s="44">
        <v>1500</v>
      </c>
      <c r="D9" s="49">
        <v>6</v>
      </c>
      <c r="E9" s="49">
        <v>6</v>
      </c>
      <c r="F9" s="46">
        <f>C9*D9</f>
        <v>9000</v>
      </c>
      <c r="G9" s="46">
        <f>C9*E9</f>
        <v>9000</v>
      </c>
      <c r="H9" s="46">
        <f>F9+G9</f>
        <v>18000</v>
      </c>
      <c r="I9" s="50" t="s">
        <v>127</v>
      </c>
    </row>
    <row r="10" spans="1:9" ht="19.5" customHeight="1" x14ac:dyDescent="0.3">
      <c r="A10" s="42" t="s">
        <v>128</v>
      </c>
      <c r="B10" s="43" t="s">
        <v>124</v>
      </c>
      <c r="C10" s="44">
        <v>1200</v>
      </c>
      <c r="D10" s="49">
        <v>6</v>
      </c>
      <c r="E10" s="49">
        <v>6</v>
      </c>
      <c r="F10" s="46">
        <f>C10*D10</f>
        <v>7200</v>
      </c>
      <c r="G10" s="46">
        <f>C10*E10</f>
        <v>7200</v>
      </c>
      <c r="H10" s="46">
        <f>F10+G10</f>
        <v>14400</v>
      </c>
      <c r="I10" s="50" t="s">
        <v>129</v>
      </c>
    </row>
    <row r="11" spans="1:9" ht="19.5" customHeight="1" x14ac:dyDescent="0.3">
      <c r="A11" s="42" t="s">
        <v>130</v>
      </c>
      <c r="B11" s="43" t="s">
        <v>131</v>
      </c>
      <c r="C11" s="44">
        <v>900</v>
      </c>
      <c r="D11" s="49">
        <v>36</v>
      </c>
      <c r="E11" s="49">
        <v>36</v>
      </c>
      <c r="F11" s="46">
        <f>C11*D11</f>
        <v>32400</v>
      </c>
      <c r="G11" s="46">
        <f>C11*E11</f>
        <v>32400</v>
      </c>
      <c r="H11" s="46">
        <f>F11+G11</f>
        <v>64800</v>
      </c>
      <c r="I11" s="50" t="s">
        <v>132</v>
      </c>
    </row>
    <row r="12" spans="1:9" ht="15.75" customHeight="1" x14ac:dyDescent="0.3">
      <c r="A12" s="74" t="s">
        <v>133</v>
      </c>
      <c r="B12" s="74"/>
      <c r="C12" s="74"/>
      <c r="D12" s="74"/>
      <c r="E12" s="74"/>
      <c r="F12" s="29">
        <f>F8+F9+F10+F11</f>
        <v>59400</v>
      </c>
      <c r="G12" s="29">
        <f>G8+G9+G10+G11</f>
        <v>59400</v>
      </c>
      <c r="H12" s="29">
        <f>H8+H9+H10+H11</f>
        <v>118800</v>
      </c>
      <c r="I12" s="51"/>
    </row>
    <row r="13" spans="1:9" ht="15.75" customHeight="1" x14ac:dyDescent="0.3">
      <c r="A13" s="72" t="s">
        <v>134</v>
      </c>
      <c r="B13" s="72"/>
      <c r="C13" s="72"/>
      <c r="D13" s="72"/>
      <c r="E13" s="72"/>
      <c r="F13" s="72"/>
      <c r="G13" s="72"/>
      <c r="H13" s="72"/>
      <c r="I13" s="72"/>
    </row>
    <row r="14" spans="1:9" ht="19.5" customHeight="1" x14ac:dyDescent="0.3">
      <c r="A14" s="42" t="s">
        <v>135</v>
      </c>
      <c r="B14" s="43" t="s">
        <v>124</v>
      </c>
      <c r="C14" s="44">
        <v>1000</v>
      </c>
      <c r="D14" s="49">
        <v>6</v>
      </c>
      <c r="E14" s="49">
        <v>6</v>
      </c>
      <c r="F14" s="46">
        <f>C14*D14</f>
        <v>6000</v>
      </c>
      <c r="G14" s="46">
        <f>C14*E14</f>
        <v>6000</v>
      </c>
      <c r="H14" s="46">
        <f>F14+G14</f>
        <v>12000</v>
      </c>
      <c r="I14" s="50" t="s">
        <v>136</v>
      </c>
    </row>
    <row r="15" spans="1:9" ht="19.5" customHeight="1" x14ac:dyDescent="0.3">
      <c r="A15" s="42" t="s">
        <v>137</v>
      </c>
      <c r="B15" s="43" t="s">
        <v>124</v>
      </c>
      <c r="C15" s="44">
        <v>800</v>
      </c>
      <c r="D15" s="49">
        <v>6</v>
      </c>
      <c r="E15" s="49">
        <v>6</v>
      </c>
      <c r="F15" s="46">
        <f>C15*D15</f>
        <v>4800</v>
      </c>
      <c r="G15" s="46">
        <f>C15*E15</f>
        <v>4800</v>
      </c>
      <c r="H15" s="46">
        <f>F15+G15</f>
        <v>9600</v>
      </c>
      <c r="I15" s="50" t="s">
        <v>138</v>
      </c>
    </row>
    <row r="16" spans="1:9" ht="15.75" customHeight="1" x14ac:dyDescent="0.3">
      <c r="A16" s="74" t="s">
        <v>139</v>
      </c>
      <c r="B16" s="74"/>
      <c r="C16" s="74"/>
      <c r="D16" s="74"/>
      <c r="E16" s="74"/>
      <c r="F16" s="29">
        <f>F14+F15</f>
        <v>10800</v>
      </c>
      <c r="G16" s="29">
        <f>G14+G15</f>
        <v>10800</v>
      </c>
      <c r="H16" s="29">
        <f>H14+H15</f>
        <v>21600</v>
      </c>
      <c r="I16" s="51"/>
    </row>
    <row r="17" spans="1:9" ht="15.75" customHeight="1" x14ac:dyDescent="0.3">
      <c r="A17" s="72" t="s">
        <v>140</v>
      </c>
      <c r="B17" s="72"/>
      <c r="C17" s="72"/>
      <c r="D17" s="72"/>
      <c r="E17" s="72"/>
      <c r="F17" s="72"/>
      <c r="G17" s="72"/>
      <c r="H17" s="72"/>
      <c r="I17" s="72"/>
    </row>
    <row r="18" spans="1:9" ht="19.5" customHeight="1" x14ac:dyDescent="0.3">
      <c r="A18" s="42" t="s">
        <v>141</v>
      </c>
      <c r="B18" s="43" t="s">
        <v>124</v>
      </c>
      <c r="C18" s="44">
        <v>1500</v>
      </c>
      <c r="D18" s="49">
        <v>6</v>
      </c>
      <c r="E18" s="49">
        <v>6</v>
      </c>
      <c r="F18" s="46">
        <f>C18*D18</f>
        <v>9000</v>
      </c>
      <c r="G18" s="46">
        <f>C18*E18</f>
        <v>9000</v>
      </c>
      <c r="H18" s="46">
        <f>F18+G18</f>
        <v>18000</v>
      </c>
      <c r="I18" s="50" t="s">
        <v>142</v>
      </c>
    </row>
    <row r="19" spans="1:9" ht="19.5" customHeight="1" x14ac:dyDescent="0.3">
      <c r="A19" s="42" t="s">
        <v>143</v>
      </c>
      <c r="B19" s="43" t="s">
        <v>124</v>
      </c>
      <c r="C19" s="44">
        <v>900</v>
      </c>
      <c r="D19" s="49">
        <v>6</v>
      </c>
      <c r="E19" s="49">
        <v>6</v>
      </c>
      <c r="F19" s="46">
        <f>C19*D19</f>
        <v>5400</v>
      </c>
      <c r="G19" s="46">
        <f>C19*E19</f>
        <v>5400</v>
      </c>
      <c r="H19" s="46">
        <f>F19+G19</f>
        <v>10800</v>
      </c>
      <c r="I19" s="50" t="s">
        <v>144</v>
      </c>
    </row>
    <row r="20" spans="1:9" ht="19.5" customHeight="1" x14ac:dyDescent="0.3">
      <c r="A20" s="42" t="s">
        <v>145</v>
      </c>
      <c r="B20" s="43" t="s">
        <v>124</v>
      </c>
      <c r="C20" s="44">
        <v>600</v>
      </c>
      <c r="D20" s="49">
        <v>6</v>
      </c>
      <c r="E20" s="49">
        <v>6</v>
      </c>
      <c r="F20" s="46">
        <f>C20*D20</f>
        <v>3600</v>
      </c>
      <c r="G20" s="46">
        <f>C20*E20</f>
        <v>3600</v>
      </c>
      <c r="H20" s="46">
        <f>F20+G20</f>
        <v>7200</v>
      </c>
      <c r="I20" s="50" t="s">
        <v>146</v>
      </c>
    </row>
    <row r="21" spans="1:9" ht="15.75" customHeight="1" x14ac:dyDescent="0.3">
      <c r="A21" s="74" t="s">
        <v>147</v>
      </c>
      <c r="B21" s="74"/>
      <c r="C21" s="74"/>
      <c r="D21" s="74"/>
      <c r="E21" s="74"/>
      <c r="F21" s="29">
        <f>F18+F19+F20</f>
        <v>18000</v>
      </c>
      <c r="G21" s="29">
        <f>G18+G19+G20</f>
        <v>18000</v>
      </c>
      <c r="H21" s="29">
        <f>H18+H19+H20</f>
        <v>36000</v>
      </c>
      <c r="I21" s="51"/>
    </row>
    <row r="22" spans="1:9" ht="15.75" customHeight="1" x14ac:dyDescent="0.3">
      <c r="A22" s="72" t="s">
        <v>148</v>
      </c>
      <c r="B22" s="72"/>
      <c r="C22" s="72"/>
      <c r="D22" s="72"/>
      <c r="E22" s="72"/>
      <c r="F22" s="72"/>
      <c r="G22" s="72"/>
      <c r="H22" s="72"/>
      <c r="I22" s="72"/>
    </row>
    <row r="23" spans="1:9" ht="19.5" customHeight="1" x14ac:dyDescent="0.3">
      <c r="A23" s="42" t="s">
        <v>149</v>
      </c>
      <c r="B23" s="43" t="s">
        <v>99</v>
      </c>
      <c r="C23" s="44">
        <v>150</v>
      </c>
      <c r="D23" s="49">
        <v>12</v>
      </c>
      <c r="E23" s="49">
        <v>12</v>
      </c>
      <c r="F23" s="46">
        <f>C23*D23</f>
        <v>1800</v>
      </c>
      <c r="G23" s="46">
        <f>C23*E23</f>
        <v>1800</v>
      </c>
      <c r="H23" s="46">
        <f>F23+G23</f>
        <v>3600</v>
      </c>
      <c r="I23" s="50" t="s">
        <v>150</v>
      </c>
    </row>
    <row r="24" spans="1:9" ht="19.5" customHeight="1" x14ac:dyDescent="0.3">
      <c r="A24" s="42" t="s">
        <v>151</v>
      </c>
      <c r="B24" s="43" t="s">
        <v>99</v>
      </c>
      <c r="C24" s="44">
        <v>40</v>
      </c>
      <c r="D24" s="49">
        <v>170</v>
      </c>
      <c r="E24" s="49">
        <v>170</v>
      </c>
      <c r="F24" s="46">
        <f>C24*D24</f>
        <v>6800</v>
      </c>
      <c r="G24" s="46">
        <f>C24*E24</f>
        <v>6800</v>
      </c>
      <c r="H24" s="46">
        <f>F24+G24</f>
        <v>13600</v>
      </c>
      <c r="I24" s="50" t="s">
        <v>152</v>
      </c>
    </row>
    <row r="25" spans="1:9" ht="19.5" customHeight="1" x14ac:dyDescent="0.3">
      <c r="A25" s="42" t="s">
        <v>153</v>
      </c>
      <c r="B25" s="43" t="s">
        <v>99</v>
      </c>
      <c r="C25" s="44">
        <v>10</v>
      </c>
      <c r="D25" s="49">
        <v>320</v>
      </c>
      <c r="E25" s="49">
        <v>320</v>
      </c>
      <c r="F25" s="46">
        <f>C25*D25</f>
        <v>3200</v>
      </c>
      <c r="G25" s="46">
        <f>C25*E25</f>
        <v>3200</v>
      </c>
      <c r="H25" s="46">
        <f>F25+G25</f>
        <v>6400</v>
      </c>
      <c r="I25" s="50" t="s">
        <v>154</v>
      </c>
    </row>
    <row r="26" spans="1:9" ht="15.75" customHeight="1" x14ac:dyDescent="0.3">
      <c r="A26" s="74" t="s">
        <v>155</v>
      </c>
      <c r="B26" s="74"/>
      <c r="C26" s="74"/>
      <c r="D26" s="74"/>
      <c r="E26" s="74"/>
      <c r="F26" s="29">
        <f>F23+F24+F25</f>
        <v>11800</v>
      </c>
      <c r="G26" s="29">
        <f>G23+G24+G25</f>
        <v>11800</v>
      </c>
      <c r="H26" s="29">
        <f>H23+H24+H25</f>
        <v>23600</v>
      </c>
      <c r="I26" s="51"/>
    </row>
    <row r="27" spans="1:9" ht="15.75" customHeight="1" x14ac:dyDescent="0.3">
      <c r="A27" s="75" t="s">
        <v>156</v>
      </c>
      <c r="B27" s="75"/>
      <c r="C27" s="75"/>
      <c r="D27" s="75"/>
      <c r="E27" s="75"/>
      <c r="F27" s="32">
        <f>F12+F16+F21+F26</f>
        <v>100000</v>
      </c>
      <c r="G27" s="32">
        <f>G12+G16+G21+G26</f>
        <v>100000</v>
      </c>
      <c r="H27" s="32">
        <f>H12+H16+H21+H26</f>
        <v>200000</v>
      </c>
      <c r="I27" s="52"/>
    </row>
    <row r="28" spans="1:9" ht="15.75" customHeight="1" x14ac:dyDescent="0.3">
      <c r="A28" s="72" t="s">
        <v>157</v>
      </c>
      <c r="B28" s="72"/>
      <c r="C28" s="72"/>
      <c r="D28" s="72"/>
      <c r="E28" s="72"/>
      <c r="F28" s="72"/>
      <c r="G28" s="72"/>
      <c r="H28" s="72"/>
      <c r="I28" s="72"/>
    </row>
    <row r="29" spans="1:9" ht="19.5" customHeight="1" x14ac:dyDescent="0.3">
      <c r="A29" s="42" t="s">
        <v>158</v>
      </c>
      <c r="B29" s="43" t="s">
        <v>159</v>
      </c>
      <c r="C29" s="44">
        <v>2000</v>
      </c>
      <c r="D29" s="49">
        <v>2</v>
      </c>
      <c r="E29" s="49">
        <v>2</v>
      </c>
      <c r="F29" s="46">
        <f>C29*D29</f>
        <v>4000</v>
      </c>
      <c r="G29" s="46">
        <f>C29*E29</f>
        <v>4000</v>
      </c>
      <c r="H29" s="46">
        <f>F29+G29</f>
        <v>8000</v>
      </c>
      <c r="I29" s="50" t="s">
        <v>160</v>
      </c>
    </row>
    <row r="30" spans="1:9" ht="19.5" customHeight="1" x14ac:dyDescent="0.3">
      <c r="A30" s="42" t="s">
        <v>161</v>
      </c>
      <c r="B30" s="43" t="s">
        <v>124</v>
      </c>
      <c r="C30" s="44">
        <v>1000</v>
      </c>
      <c r="D30" s="49">
        <v>6</v>
      </c>
      <c r="E30" s="49">
        <v>6</v>
      </c>
      <c r="F30" s="46">
        <f>C30*D30</f>
        <v>6000</v>
      </c>
      <c r="G30" s="46">
        <f>C30*E30</f>
        <v>6000</v>
      </c>
      <c r="H30" s="46">
        <f>F30+G30</f>
        <v>12000</v>
      </c>
      <c r="I30" s="50" t="s">
        <v>162</v>
      </c>
    </row>
    <row r="31" spans="1:9" ht="15.75" customHeight="1" x14ac:dyDescent="0.3">
      <c r="A31" s="75" t="s">
        <v>163</v>
      </c>
      <c r="B31" s="75"/>
      <c r="C31" s="75"/>
      <c r="D31" s="75"/>
      <c r="E31" s="75"/>
      <c r="F31" s="32">
        <f>F29+F30</f>
        <v>10000</v>
      </c>
      <c r="G31" s="32">
        <f>G29+G30</f>
        <v>10000</v>
      </c>
      <c r="H31" s="32">
        <f>H29+H30</f>
        <v>20000</v>
      </c>
      <c r="I31" s="52"/>
    </row>
    <row r="32" spans="1:9" ht="15.75" customHeight="1" x14ac:dyDescent="0.3">
      <c r="A32" s="72" t="s">
        <v>164</v>
      </c>
      <c r="B32" s="72"/>
      <c r="C32" s="72"/>
      <c r="D32" s="72"/>
      <c r="E32" s="72"/>
      <c r="F32" s="72"/>
      <c r="G32" s="72"/>
      <c r="H32" s="72"/>
      <c r="I32" s="72"/>
    </row>
    <row r="33" spans="1:9" ht="19.5" customHeight="1" x14ac:dyDescent="0.3">
      <c r="A33" s="42" t="s">
        <v>165</v>
      </c>
      <c r="B33" s="43" t="s">
        <v>166</v>
      </c>
      <c r="C33" s="44">
        <v>450</v>
      </c>
      <c r="D33" s="49">
        <v>60</v>
      </c>
      <c r="E33" s="49">
        <v>0</v>
      </c>
      <c r="F33" s="46">
        <f>C33*D33</f>
        <v>27000</v>
      </c>
      <c r="G33" s="46">
        <f>C33*E33</f>
        <v>0</v>
      </c>
      <c r="H33" s="46">
        <f>F33+G33</f>
        <v>27000</v>
      </c>
      <c r="I33" s="50" t="s">
        <v>167</v>
      </c>
    </row>
    <row r="34" spans="1:9" ht="19.5" customHeight="1" x14ac:dyDescent="0.3">
      <c r="A34" s="42" t="s">
        <v>168</v>
      </c>
      <c r="B34" s="43" t="s">
        <v>166</v>
      </c>
      <c r="C34" s="44">
        <v>6000</v>
      </c>
      <c r="D34" s="49">
        <v>2</v>
      </c>
      <c r="E34" s="49">
        <v>0</v>
      </c>
      <c r="F34" s="46">
        <f>C34*D34</f>
        <v>12000</v>
      </c>
      <c r="G34" s="46">
        <f>C34*E34</f>
        <v>0</v>
      </c>
      <c r="H34" s="46">
        <f>F34+G34</f>
        <v>12000</v>
      </c>
      <c r="I34" s="50" t="s">
        <v>169</v>
      </c>
    </row>
    <row r="35" spans="1:9" ht="19.5" customHeight="1" x14ac:dyDescent="0.3">
      <c r="A35" s="42" t="s">
        <v>170</v>
      </c>
      <c r="B35" s="43" t="s">
        <v>171</v>
      </c>
      <c r="C35" s="44">
        <v>16000</v>
      </c>
      <c r="D35" s="49">
        <v>1</v>
      </c>
      <c r="E35" s="49">
        <v>0</v>
      </c>
      <c r="F35" s="46">
        <f>C35*D35</f>
        <v>16000</v>
      </c>
      <c r="G35" s="46">
        <f>C35*E35</f>
        <v>0</v>
      </c>
      <c r="H35" s="46">
        <f>F35+G35</f>
        <v>16000</v>
      </c>
      <c r="I35" s="50" t="s">
        <v>172</v>
      </c>
    </row>
    <row r="36" spans="1:9" ht="19.5" customHeight="1" x14ac:dyDescent="0.3">
      <c r="A36" s="42" t="s">
        <v>173</v>
      </c>
      <c r="B36" s="43" t="s">
        <v>171</v>
      </c>
      <c r="C36" s="44">
        <v>20000</v>
      </c>
      <c r="D36" s="49">
        <v>1</v>
      </c>
      <c r="E36" s="49">
        <v>0</v>
      </c>
      <c r="F36" s="46">
        <f>C36*D36</f>
        <v>20000</v>
      </c>
      <c r="G36" s="46">
        <f>C36*E36</f>
        <v>0</v>
      </c>
      <c r="H36" s="46">
        <f>F36+G36</f>
        <v>20000</v>
      </c>
      <c r="I36" s="50" t="s">
        <v>174</v>
      </c>
    </row>
    <row r="37" spans="1:9" ht="15.75" customHeight="1" x14ac:dyDescent="0.3">
      <c r="A37" s="75" t="s">
        <v>175</v>
      </c>
      <c r="B37" s="75"/>
      <c r="C37" s="75"/>
      <c r="D37" s="75"/>
      <c r="E37" s="75"/>
      <c r="F37" s="32">
        <f>F33+F34+F35+F36</f>
        <v>75000</v>
      </c>
      <c r="G37" s="32">
        <f>G33+G34+G35+G36</f>
        <v>0</v>
      </c>
      <c r="H37" s="32">
        <f>H33+H34+H35+H36</f>
        <v>75000</v>
      </c>
      <c r="I37" s="52"/>
    </row>
    <row r="38" spans="1:9" ht="15.75" customHeight="1" x14ac:dyDescent="0.3">
      <c r="A38" s="72" t="s">
        <v>176</v>
      </c>
      <c r="B38" s="72"/>
      <c r="C38" s="72"/>
      <c r="D38" s="72"/>
      <c r="E38" s="72"/>
      <c r="F38" s="72"/>
      <c r="G38" s="72"/>
      <c r="H38" s="72"/>
      <c r="I38" s="72"/>
    </row>
    <row r="39" spans="1:9" ht="19.5" customHeight="1" x14ac:dyDescent="0.3">
      <c r="A39" s="42" t="s">
        <v>177</v>
      </c>
      <c r="B39" s="43" t="s">
        <v>124</v>
      </c>
      <c r="C39" s="44">
        <v>250</v>
      </c>
      <c r="D39" s="49">
        <v>6</v>
      </c>
      <c r="E39" s="49">
        <v>6</v>
      </c>
      <c r="F39" s="46">
        <f>C39*D39</f>
        <v>1500</v>
      </c>
      <c r="G39" s="46">
        <f>C39*E39</f>
        <v>1500</v>
      </c>
      <c r="H39" s="46">
        <f>F39+G39</f>
        <v>3000</v>
      </c>
      <c r="I39" s="50" t="s">
        <v>178</v>
      </c>
    </row>
    <row r="40" spans="1:9" ht="19.5" customHeight="1" x14ac:dyDescent="0.3">
      <c r="A40" s="42" t="s">
        <v>179</v>
      </c>
      <c r="B40" s="43" t="s">
        <v>124</v>
      </c>
      <c r="C40" s="44">
        <v>450</v>
      </c>
      <c r="D40" s="49">
        <v>6</v>
      </c>
      <c r="E40" s="49">
        <v>6</v>
      </c>
      <c r="F40" s="46">
        <f>C40*D40</f>
        <v>2700</v>
      </c>
      <c r="G40" s="46">
        <f>C40*E40</f>
        <v>2700</v>
      </c>
      <c r="H40" s="46">
        <f>F40+G40</f>
        <v>5400</v>
      </c>
      <c r="I40" s="50" t="s">
        <v>180</v>
      </c>
    </row>
    <row r="41" spans="1:9" ht="19.5" customHeight="1" x14ac:dyDescent="0.3">
      <c r="A41" s="42" t="s">
        <v>181</v>
      </c>
      <c r="B41" s="43" t="s">
        <v>124</v>
      </c>
      <c r="C41" s="44">
        <v>100</v>
      </c>
      <c r="D41" s="49">
        <v>6</v>
      </c>
      <c r="E41" s="49">
        <v>6</v>
      </c>
      <c r="F41" s="46">
        <f>C41*D41</f>
        <v>600</v>
      </c>
      <c r="G41" s="46">
        <f>C41*E41</f>
        <v>600</v>
      </c>
      <c r="H41" s="46">
        <f>F41+G41</f>
        <v>1200</v>
      </c>
      <c r="I41" s="50" t="s">
        <v>182</v>
      </c>
    </row>
    <row r="42" spans="1:9" ht="19.5" customHeight="1" x14ac:dyDescent="0.3">
      <c r="A42" s="42" t="s">
        <v>183</v>
      </c>
      <c r="B42" s="43" t="s">
        <v>124</v>
      </c>
      <c r="C42" s="44">
        <v>200</v>
      </c>
      <c r="D42" s="49">
        <v>6</v>
      </c>
      <c r="E42" s="49">
        <v>6</v>
      </c>
      <c r="F42" s="46">
        <f>C42*D42</f>
        <v>1200</v>
      </c>
      <c r="G42" s="46">
        <f>C42*E42</f>
        <v>1200</v>
      </c>
      <c r="H42" s="46">
        <f>F42+G42</f>
        <v>2400</v>
      </c>
      <c r="I42" s="50" t="s">
        <v>184</v>
      </c>
    </row>
    <row r="43" spans="1:9" ht="15.75" customHeight="1" x14ac:dyDescent="0.3">
      <c r="A43" s="75" t="s">
        <v>185</v>
      </c>
      <c r="B43" s="75"/>
      <c r="C43" s="75"/>
      <c r="D43" s="75"/>
      <c r="E43" s="75"/>
      <c r="F43" s="32">
        <f>F39+F40+F41+F42</f>
        <v>6000</v>
      </c>
      <c r="G43" s="32">
        <f>G39+G40+G41+G42</f>
        <v>6000</v>
      </c>
      <c r="H43" s="32">
        <f>H39+H40+H41+H42</f>
        <v>12000</v>
      </c>
      <c r="I43" s="52"/>
    </row>
    <row r="44" spans="1:9" ht="15.75" customHeight="1" x14ac:dyDescent="0.3">
      <c r="A44" s="72" t="s">
        <v>186</v>
      </c>
      <c r="B44" s="72"/>
      <c r="C44" s="72"/>
      <c r="D44" s="72"/>
      <c r="E44" s="72"/>
      <c r="F44" s="72"/>
      <c r="G44" s="72"/>
      <c r="H44" s="72"/>
      <c r="I44" s="72"/>
    </row>
    <row r="45" spans="1:9" ht="19.5" customHeight="1" x14ac:dyDescent="0.3">
      <c r="A45" s="42" t="s">
        <v>187</v>
      </c>
      <c r="B45" s="43" t="s">
        <v>171</v>
      </c>
      <c r="C45" s="44">
        <v>12000</v>
      </c>
      <c r="D45" s="49">
        <v>0</v>
      </c>
      <c r="E45" s="49">
        <v>1</v>
      </c>
      <c r="F45" s="46">
        <f t="shared" ref="F45:F52" si="0">C45*D45</f>
        <v>0</v>
      </c>
      <c r="G45" s="46">
        <f t="shared" ref="G45:G52" si="1">C45*E45</f>
        <v>12000</v>
      </c>
      <c r="H45" s="46">
        <f t="shared" ref="H45:H52" si="2">F45+G45</f>
        <v>12000</v>
      </c>
      <c r="I45" s="50" t="s">
        <v>188</v>
      </c>
    </row>
    <row r="46" spans="1:9" ht="19.5" customHeight="1" x14ac:dyDescent="0.3">
      <c r="A46" s="42" t="s">
        <v>189</v>
      </c>
      <c r="B46" s="43" t="s">
        <v>190</v>
      </c>
      <c r="C46" s="44">
        <v>800</v>
      </c>
      <c r="D46" s="49">
        <v>25</v>
      </c>
      <c r="E46" s="49">
        <v>25</v>
      </c>
      <c r="F46" s="46">
        <f t="shared" si="0"/>
        <v>20000</v>
      </c>
      <c r="G46" s="46">
        <f t="shared" si="1"/>
        <v>20000</v>
      </c>
      <c r="H46" s="46">
        <f t="shared" si="2"/>
        <v>40000</v>
      </c>
      <c r="I46" s="50" t="s">
        <v>191</v>
      </c>
    </row>
    <row r="47" spans="1:9" ht="19.5" customHeight="1" x14ac:dyDescent="0.3">
      <c r="A47" s="42" t="s">
        <v>192</v>
      </c>
      <c r="B47" s="43" t="s">
        <v>171</v>
      </c>
      <c r="C47" s="44">
        <v>4000</v>
      </c>
      <c r="D47" s="49">
        <v>1</v>
      </c>
      <c r="E47" s="49">
        <v>1</v>
      </c>
      <c r="F47" s="46">
        <f t="shared" si="0"/>
        <v>4000</v>
      </c>
      <c r="G47" s="46">
        <f t="shared" si="1"/>
        <v>4000</v>
      </c>
      <c r="H47" s="46">
        <f t="shared" si="2"/>
        <v>8000</v>
      </c>
      <c r="I47" s="50" t="s">
        <v>193</v>
      </c>
    </row>
    <row r="48" spans="1:9" ht="19.5" customHeight="1" x14ac:dyDescent="0.3">
      <c r="A48" s="42" t="s">
        <v>194</v>
      </c>
      <c r="B48" s="43" t="s">
        <v>171</v>
      </c>
      <c r="C48" s="44">
        <v>7500</v>
      </c>
      <c r="D48" s="49">
        <v>1</v>
      </c>
      <c r="E48" s="49">
        <v>1</v>
      </c>
      <c r="F48" s="46">
        <f t="shared" si="0"/>
        <v>7500</v>
      </c>
      <c r="G48" s="46">
        <f t="shared" si="1"/>
        <v>7500</v>
      </c>
      <c r="H48" s="46">
        <f t="shared" si="2"/>
        <v>15000</v>
      </c>
      <c r="I48" s="50" t="s">
        <v>195</v>
      </c>
    </row>
    <row r="49" spans="1:9" ht="19.5" customHeight="1" x14ac:dyDescent="0.3">
      <c r="A49" s="42" t="s">
        <v>196</v>
      </c>
      <c r="B49" s="43" t="s">
        <v>171</v>
      </c>
      <c r="C49" s="44">
        <v>6000</v>
      </c>
      <c r="D49" s="49">
        <v>1</v>
      </c>
      <c r="E49" s="49">
        <v>0</v>
      </c>
      <c r="F49" s="46">
        <f t="shared" si="0"/>
        <v>6000</v>
      </c>
      <c r="G49" s="46">
        <f t="shared" si="1"/>
        <v>0</v>
      </c>
      <c r="H49" s="46">
        <f t="shared" si="2"/>
        <v>6000</v>
      </c>
      <c r="I49" s="50" t="s">
        <v>197</v>
      </c>
    </row>
    <row r="50" spans="1:9" ht="19.5" customHeight="1" x14ac:dyDescent="0.3">
      <c r="A50" s="42" t="s">
        <v>198</v>
      </c>
      <c r="B50" s="43" t="s">
        <v>171</v>
      </c>
      <c r="C50" s="44">
        <v>2000</v>
      </c>
      <c r="D50" s="49">
        <v>1</v>
      </c>
      <c r="E50" s="49">
        <v>0</v>
      </c>
      <c r="F50" s="46">
        <f t="shared" si="0"/>
        <v>2000</v>
      </c>
      <c r="G50" s="46">
        <f t="shared" si="1"/>
        <v>0</v>
      </c>
      <c r="H50" s="46">
        <f t="shared" si="2"/>
        <v>2000</v>
      </c>
      <c r="I50" s="50" t="s">
        <v>199</v>
      </c>
    </row>
    <row r="51" spans="1:9" ht="19.5" customHeight="1" x14ac:dyDescent="0.3">
      <c r="A51" s="42" t="s">
        <v>200</v>
      </c>
      <c r="B51" s="43" t="s">
        <v>171</v>
      </c>
      <c r="C51" s="44">
        <v>12000</v>
      </c>
      <c r="D51" s="49">
        <v>1</v>
      </c>
      <c r="E51" s="49">
        <v>0</v>
      </c>
      <c r="F51" s="46">
        <f t="shared" si="0"/>
        <v>12000</v>
      </c>
      <c r="G51" s="46">
        <f t="shared" si="1"/>
        <v>0</v>
      </c>
      <c r="H51" s="46">
        <f t="shared" si="2"/>
        <v>12000</v>
      </c>
      <c r="I51" s="50" t="s">
        <v>201</v>
      </c>
    </row>
    <row r="52" spans="1:9" ht="19.5" customHeight="1" x14ac:dyDescent="0.3">
      <c r="A52" s="42" t="s">
        <v>202</v>
      </c>
      <c r="B52" s="43" t="s">
        <v>171</v>
      </c>
      <c r="C52" s="44">
        <v>4000</v>
      </c>
      <c r="D52" s="49">
        <v>0</v>
      </c>
      <c r="E52" s="49">
        <v>1</v>
      </c>
      <c r="F52" s="46">
        <f t="shared" si="0"/>
        <v>0</v>
      </c>
      <c r="G52" s="46">
        <f t="shared" si="1"/>
        <v>4000</v>
      </c>
      <c r="H52" s="46">
        <f t="shared" si="2"/>
        <v>4000</v>
      </c>
      <c r="I52" s="50" t="s">
        <v>203</v>
      </c>
    </row>
    <row r="53" spans="1:9" ht="15.75" customHeight="1" x14ac:dyDescent="0.3">
      <c r="A53" s="75" t="s">
        <v>204</v>
      </c>
      <c r="B53" s="75"/>
      <c r="C53" s="75"/>
      <c r="D53" s="75"/>
      <c r="E53" s="75"/>
      <c r="F53" s="32">
        <f>F45+F46+F47+F48+F49+F50+F51+F52</f>
        <v>51500</v>
      </c>
      <c r="G53" s="32">
        <f>G45+G46+G47+G48+G49+G50+G51+G52</f>
        <v>47500</v>
      </c>
      <c r="H53" s="32">
        <f>H45+H46+H47+H48+H49+H50+H51+H52</f>
        <v>99000</v>
      </c>
      <c r="I53" s="52"/>
    </row>
    <row r="54" spans="1:9" ht="15.75" customHeight="1" x14ac:dyDescent="0.3">
      <c r="A54" s="72" t="s">
        <v>205</v>
      </c>
      <c r="B54" s="72"/>
      <c r="C54" s="72"/>
      <c r="D54" s="72"/>
      <c r="E54" s="72"/>
      <c r="F54" s="72"/>
      <c r="G54" s="72"/>
      <c r="H54" s="72"/>
      <c r="I54" s="72"/>
    </row>
    <row r="55" spans="1:9" ht="19.5" customHeight="1" x14ac:dyDescent="0.3">
      <c r="A55" s="42" t="s">
        <v>206</v>
      </c>
      <c r="B55" s="43" t="s">
        <v>207</v>
      </c>
      <c r="C55" s="44">
        <v>35000</v>
      </c>
      <c r="D55" s="49">
        <v>1</v>
      </c>
      <c r="E55" s="49">
        <v>0</v>
      </c>
      <c r="F55" s="46">
        <f>C55*D55</f>
        <v>35000</v>
      </c>
      <c r="G55" s="46">
        <f>C55*E55</f>
        <v>0</v>
      </c>
      <c r="H55" s="46">
        <f>F55+G55</f>
        <v>35000</v>
      </c>
      <c r="I55" s="50" t="s">
        <v>208</v>
      </c>
    </row>
    <row r="56" spans="1:9" ht="19.5" customHeight="1" x14ac:dyDescent="0.3">
      <c r="A56" s="42" t="s">
        <v>209</v>
      </c>
      <c r="B56" s="43" t="s">
        <v>171</v>
      </c>
      <c r="C56" s="44">
        <v>8000</v>
      </c>
      <c r="D56" s="49">
        <v>0</v>
      </c>
      <c r="E56" s="49">
        <v>1</v>
      </c>
      <c r="F56" s="46">
        <f>C56*D56</f>
        <v>0</v>
      </c>
      <c r="G56" s="46">
        <f>C56*E56</f>
        <v>8000</v>
      </c>
      <c r="H56" s="46">
        <f>F56+G56</f>
        <v>8000</v>
      </c>
      <c r="I56" s="50" t="s">
        <v>210</v>
      </c>
    </row>
    <row r="57" spans="1:9" ht="15.75" customHeight="1" x14ac:dyDescent="0.3">
      <c r="A57" s="75" t="s">
        <v>211</v>
      </c>
      <c r="B57" s="75"/>
      <c r="C57" s="75"/>
      <c r="D57" s="75"/>
      <c r="E57" s="75"/>
      <c r="F57" s="32">
        <f>F55+F56</f>
        <v>35000</v>
      </c>
      <c r="G57" s="32">
        <f>G55+G56</f>
        <v>8000</v>
      </c>
      <c r="H57" s="32">
        <f>H55+H56</f>
        <v>43000</v>
      </c>
      <c r="I57" s="52"/>
    </row>
    <row r="59" spans="1:9" ht="15.75" customHeight="1" x14ac:dyDescent="0.3">
      <c r="A59" s="80" t="s">
        <v>212</v>
      </c>
      <c r="B59" s="80"/>
      <c r="C59" s="80"/>
      <c r="D59" s="80"/>
      <c r="E59" s="80"/>
      <c r="F59" s="80"/>
      <c r="G59" s="80"/>
      <c r="H59" s="23">
        <f>H8+H9+H10+H11+H14+H15+H18+H19+H20+H23+H24+H25+H29+H30+H33+H34+H35+H36+H45+H46+H47+H48+H49+H50+H51+H52+H55+H56</f>
        <v>437000</v>
      </c>
      <c r="I59" s="53" t="s">
        <v>213</v>
      </c>
    </row>
    <row r="60" spans="1:9" ht="15.75" customHeight="1" x14ac:dyDescent="0.3">
      <c r="A60" s="80" t="s">
        <v>214</v>
      </c>
      <c r="B60" s="80"/>
      <c r="C60" s="80"/>
      <c r="D60" s="80"/>
      <c r="E60" s="80"/>
      <c r="F60" s="80"/>
      <c r="G60" s="80"/>
      <c r="H60" s="23">
        <f>H8+H9+H10+H11+H14+H15+H18+H19+H20+H23+H24+H25+H29+H30+H33+H34+H35+H36+H45+H46+H47+H48+H49+H50+H51+H52+H55+H56+H39+H40+H41+H42</f>
        <v>449000</v>
      </c>
      <c r="I60" s="53" t="s">
        <v>215</v>
      </c>
    </row>
    <row r="61" spans="1:9" ht="15.75" customHeight="1" x14ac:dyDescent="0.3">
      <c r="A61" s="81" t="s">
        <v>216</v>
      </c>
      <c r="B61" s="81"/>
      <c r="C61" s="81"/>
      <c r="D61" s="81"/>
      <c r="E61" s="81"/>
      <c r="F61" s="81"/>
      <c r="G61" s="81"/>
      <c r="H61" s="26">
        <f>ROUND(H59*0.07,0)</f>
        <v>30590</v>
      </c>
      <c r="I61" s="54" t="s">
        <v>217</v>
      </c>
    </row>
    <row r="62" spans="1:9" ht="15.75" customHeight="1" x14ac:dyDescent="0.3">
      <c r="A62" s="74" t="s">
        <v>218</v>
      </c>
      <c r="B62" s="74"/>
      <c r="C62" s="74"/>
      <c r="D62" s="74"/>
      <c r="E62" s="74"/>
      <c r="F62" s="74"/>
      <c r="G62" s="74"/>
      <c r="H62" s="29">
        <f>H60+H61</f>
        <v>479590</v>
      </c>
      <c r="I62" s="51"/>
    </row>
    <row r="63" spans="1:9" ht="15.75" customHeight="1" x14ac:dyDescent="0.3">
      <c r="A63" s="81" t="s">
        <v>219</v>
      </c>
      <c r="B63" s="81"/>
      <c r="C63" s="81"/>
      <c r="D63" s="81"/>
      <c r="E63" s="81"/>
      <c r="F63" s="81"/>
      <c r="G63" s="81"/>
      <c r="H63" s="26">
        <f>500000-H62</f>
        <v>20410</v>
      </c>
      <c r="I63" s="54" t="s">
        <v>220</v>
      </c>
    </row>
    <row r="64" spans="1:9" ht="19.5" customHeight="1" x14ac:dyDescent="0.3">
      <c r="A64" s="75" t="s">
        <v>221</v>
      </c>
      <c r="B64" s="75"/>
      <c r="C64" s="75"/>
      <c r="D64" s="75"/>
      <c r="E64" s="75"/>
      <c r="F64" s="75"/>
      <c r="G64" s="75"/>
      <c r="H64" s="32">
        <f>H62+H63</f>
        <v>500000</v>
      </c>
      <c r="I64" s="55" t="s">
        <v>222</v>
      </c>
    </row>
  </sheetData>
  <mergeCells count="29">
    <mergeCell ref="A61:G61"/>
    <mergeCell ref="A62:G62"/>
    <mergeCell ref="A63:G63"/>
    <mergeCell ref="A64:G64"/>
    <mergeCell ref="A53:E53"/>
    <mergeCell ref="A54:I54"/>
    <mergeCell ref="A57:E57"/>
    <mergeCell ref="A59:G59"/>
    <mergeCell ref="A60:G60"/>
    <mergeCell ref="A32:I32"/>
    <mergeCell ref="A37:E37"/>
    <mergeCell ref="A38:I38"/>
    <mergeCell ref="A43:E43"/>
    <mergeCell ref="A44:I44"/>
    <mergeCell ref="A22:I22"/>
    <mergeCell ref="A26:E26"/>
    <mergeCell ref="A27:E27"/>
    <mergeCell ref="A28:I28"/>
    <mergeCell ref="A31:E31"/>
    <mergeCell ref="A12:E12"/>
    <mergeCell ref="A13:I13"/>
    <mergeCell ref="A16:E16"/>
    <mergeCell ref="A17:I17"/>
    <mergeCell ref="A21:E21"/>
    <mergeCell ref="A1:I1"/>
    <mergeCell ref="A2:I2"/>
    <mergeCell ref="A5:I5"/>
    <mergeCell ref="A6:I6"/>
    <mergeCell ref="A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3" width="56" customWidth="1"/>
  </cols>
  <sheetData>
    <row r="1" spans="1:3" ht="24" customHeight="1" x14ac:dyDescent="0.3">
      <c r="A1" s="82" t="s">
        <v>223</v>
      </c>
      <c r="B1" s="82"/>
      <c r="C1" s="82"/>
    </row>
    <row r="2" spans="1:3" ht="6" customHeight="1" x14ac:dyDescent="0.3"/>
    <row r="3" spans="1:3" ht="19.5" customHeight="1" x14ac:dyDescent="0.3">
      <c r="A3" s="56" t="s">
        <v>90</v>
      </c>
      <c r="B3" s="56" t="s">
        <v>224</v>
      </c>
      <c r="C3" s="56" t="s">
        <v>225</v>
      </c>
    </row>
    <row r="4" spans="1:3" ht="69.75" customHeight="1" x14ac:dyDescent="0.3">
      <c r="A4" s="57" t="s">
        <v>16</v>
      </c>
      <c r="B4" s="58" t="s">
        <v>226</v>
      </c>
      <c r="C4" s="58" t="s">
        <v>227</v>
      </c>
    </row>
    <row r="5" spans="1:3" ht="69.75" customHeight="1" x14ac:dyDescent="0.3">
      <c r="A5" s="57" t="s">
        <v>18</v>
      </c>
      <c r="B5" s="58" t="s">
        <v>228</v>
      </c>
      <c r="C5" s="58" t="s">
        <v>229</v>
      </c>
    </row>
    <row r="6" spans="1:3" ht="69.75" customHeight="1" x14ac:dyDescent="0.3">
      <c r="A6" s="57" t="s">
        <v>20</v>
      </c>
      <c r="B6" s="58" t="s">
        <v>230</v>
      </c>
      <c r="C6" s="58" t="s">
        <v>231</v>
      </c>
    </row>
    <row r="7" spans="1:3" ht="69.75" customHeight="1" x14ac:dyDescent="0.3">
      <c r="A7" s="57" t="s">
        <v>22</v>
      </c>
      <c r="B7" s="58" t="s">
        <v>232</v>
      </c>
      <c r="C7" s="58" t="s">
        <v>233</v>
      </c>
    </row>
    <row r="8" spans="1:3" ht="69.75" customHeight="1" x14ac:dyDescent="0.3">
      <c r="A8" s="57" t="s">
        <v>24</v>
      </c>
      <c r="B8" s="58" t="s">
        <v>234</v>
      </c>
      <c r="C8" s="58" t="s">
        <v>235</v>
      </c>
    </row>
    <row r="9" spans="1:3" ht="69.75" customHeight="1" x14ac:dyDescent="0.3">
      <c r="A9" s="57" t="s">
        <v>26</v>
      </c>
      <c r="B9" s="58" t="s">
        <v>236</v>
      </c>
      <c r="C9" s="58" t="s">
        <v>237</v>
      </c>
    </row>
    <row r="10" spans="1:3" ht="69.75" customHeight="1" x14ac:dyDescent="0.3">
      <c r="A10" s="57" t="s">
        <v>238</v>
      </c>
      <c r="B10" s="58" t="s">
        <v>239</v>
      </c>
      <c r="C10" s="58" t="s">
        <v>240</v>
      </c>
    </row>
    <row r="11" spans="1:3" ht="69.75" customHeight="1" x14ac:dyDescent="0.3">
      <c r="A11" s="57" t="s">
        <v>241</v>
      </c>
      <c r="B11" s="58" t="s">
        <v>242</v>
      </c>
      <c r="C11" s="58" t="s">
        <v>243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Normal="100" workbookViewId="0"/>
  </sheetViews>
  <sheetFormatPr defaultColWidth="8.6640625" defaultRowHeight="14.4" x14ac:dyDescent="0.3"/>
  <cols>
    <col min="1" max="1" width="45" customWidth="1"/>
    <col min="2" max="2" width="35" customWidth="1"/>
    <col min="3" max="3" width="16" customWidth="1"/>
    <col min="4" max="4" width="12" customWidth="1"/>
  </cols>
  <sheetData>
    <row r="1" spans="1:4" ht="24" customHeight="1" x14ac:dyDescent="0.3">
      <c r="A1" s="82" t="s">
        <v>244</v>
      </c>
      <c r="B1" s="82"/>
      <c r="C1" s="82"/>
      <c r="D1" s="82"/>
    </row>
    <row r="2" spans="1:4" ht="6" customHeight="1" x14ac:dyDescent="0.3"/>
    <row r="3" spans="1:4" ht="19.5" customHeight="1" x14ac:dyDescent="0.3">
      <c r="A3" s="56" t="s">
        <v>245</v>
      </c>
      <c r="B3" s="56" t="s">
        <v>246</v>
      </c>
      <c r="C3" s="56" t="s">
        <v>247</v>
      </c>
      <c r="D3" s="56" t="s">
        <v>248</v>
      </c>
    </row>
    <row r="4" spans="1:4" ht="15.75" customHeight="1" x14ac:dyDescent="0.3">
      <c r="A4" s="59" t="s">
        <v>35</v>
      </c>
      <c r="B4" s="60" t="s">
        <v>249</v>
      </c>
      <c r="C4" s="61">
        <v>400000</v>
      </c>
      <c r="D4" s="62">
        <v>0.8</v>
      </c>
    </row>
    <row r="5" spans="1:4" ht="15.75" customHeight="1" x14ac:dyDescent="0.3">
      <c r="A5" s="63" t="s">
        <v>250</v>
      </c>
      <c r="B5" s="64" t="s">
        <v>251</v>
      </c>
      <c r="C5" s="65">
        <v>100000</v>
      </c>
      <c r="D5" s="66">
        <v>0.2</v>
      </c>
    </row>
    <row r="6" spans="1:4" ht="15.75" customHeight="1" x14ac:dyDescent="0.3">
      <c r="A6" s="63" t="s">
        <v>252</v>
      </c>
      <c r="B6" s="64" t="s">
        <v>253</v>
      </c>
      <c r="C6" s="65">
        <v>50000</v>
      </c>
      <c r="D6" s="66">
        <v>0.1</v>
      </c>
    </row>
    <row r="7" spans="1:4" ht="15.75" customHeight="1" x14ac:dyDescent="0.3">
      <c r="A7" s="63" t="s">
        <v>254</v>
      </c>
      <c r="B7" s="64" t="s">
        <v>255</v>
      </c>
      <c r="C7" s="65">
        <v>50000</v>
      </c>
      <c r="D7" s="66">
        <v>0.1</v>
      </c>
    </row>
    <row r="8" spans="1:4" ht="15.75" customHeight="1" x14ac:dyDescent="0.3">
      <c r="A8" s="63" t="s">
        <v>256</v>
      </c>
      <c r="B8" s="64" t="s">
        <v>257</v>
      </c>
      <c r="C8" s="65">
        <v>500000</v>
      </c>
      <c r="D8" s="66">
        <v>1</v>
      </c>
    </row>
    <row r="9" spans="1:4" ht="7.5" customHeight="1" x14ac:dyDescent="0.3"/>
    <row r="10" spans="1:4" ht="15" customHeight="1" x14ac:dyDescent="0.3">
      <c r="A10" s="83" t="s">
        <v>258</v>
      </c>
      <c r="B10" s="83"/>
      <c r="C10" s="83"/>
      <c r="D10" s="83"/>
    </row>
    <row r="11" spans="1:4" ht="15.75" customHeight="1" x14ac:dyDescent="0.3">
      <c r="A11" s="67" t="s">
        <v>259</v>
      </c>
      <c r="B11" s="16"/>
      <c r="C11" s="17">
        <v>500000</v>
      </c>
      <c r="D11" s="16"/>
    </row>
    <row r="12" spans="1:4" ht="15.75" customHeight="1" x14ac:dyDescent="0.3">
      <c r="A12" s="67" t="s">
        <v>260</v>
      </c>
      <c r="B12" s="16"/>
      <c r="C12" s="68">
        <v>0.8</v>
      </c>
      <c r="D12" s="16"/>
    </row>
    <row r="13" spans="1:4" ht="15.75" customHeight="1" x14ac:dyDescent="0.3">
      <c r="A13" s="67" t="s">
        <v>261</v>
      </c>
      <c r="B13" s="16"/>
      <c r="C13" s="17">
        <v>0</v>
      </c>
      <c r="D13" s="16"/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0. Resumo</vt:lpstr>
      <vt:lpstr>1. RH por Pessoa</vt:lpstr>
      <vt:lpstr>2. Orçamento PRAG</vt:lpstr>
      <vt:lpstr>3. Justificação</vt:lpstr>
      <vt:lpstr>4. Financiamento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Santos</cp:lastModifiedBy>
  <cp:revision>0</cp:revision>
  <dcterms:created xsi:type="dcterms:W3CDTF">2026-06-30T15:26:46Z</dcterms:created>
  <dcterms:modified xsi:type="dcterms:W3CDTF">2026-07-09T22:00:15Z</dcterms:modified>
  <dc:language>en-US</dc:language>
</cp:coreProperties>
</file>