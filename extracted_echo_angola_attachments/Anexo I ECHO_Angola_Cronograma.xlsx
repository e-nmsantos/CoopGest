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Cronograma Gantt" sheetId="1" state="visible" r:id="rId3"/>
    <sheet name="2. Milestones" sheetId="2" state="visible" r:id="rId4"/>
    <sheet name="3. Recursos e Carga" sheetId="3" state="visible" r:id="rId5"/>
    <sheet name="4. Plano de Actividad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<sst xmlns="http://schemas.openxmlformats.org/spreadsheetml/2006/main" count="584" uniqueCount="271">
  <si>
    <t xml:space="preserve">PROJECTO ECHO ANGOLA — LITERACIA EM IA PARA O DESENVOLVIMENTO NACIONAL</t>
  </si>
  <si>
    <t xml:space="preserve">CRONOGRAMA DE ACTIVIDADES — Set 2026 a Ago 2027 (12 meses)  |  Entidade: CEPCEP/UCP  |  Angola: Luanda</t>
  </si>
  <si>
    <t xml:space="preserve">LEGENDA:</t>
  </si>
  <si>
    <t xml:space="preserve">Resultado 1 — Capacidade Inst.</t>
  </si>
  <si>
    <t xml:space="preserve">Resultado 2 — Currículo</t>
  </si>
  <si>
    <t xml:space="preserve">Resultado 3 — ToT</t>
  </si>
  <si>
    <t xml:space="preserve">Resultado 4 — Plataforma Digital</t>
  </si>
  <si>
    <t xml:space="preserve">Resultado 5 — Formação Beneficiários</t>
  </si>
  <si>
    <t xml:space="preserve">Resultado 6 — M&amp;A</t>
  </si>
  <si>
    <t xml:space="preserve">Resultado 7 — Sustentabilidade</t>
  </si>
  <si>
    <t xml:space="preserve">▲ Milestone</t>
  </si>
  <si>
    <t xml:space="preserve">Cód.</t>
  </si>
  <si>
    <t xml:space="preserve">ACTIVIDADE / MILESTONE</t>
  </si>
  <si>
    <t xml:space="preserve">Responsável</t>
  </si>
  <si>
    <t xml:space="preserve">Resultado</t>
  </si>
  <si>
    <t xml:space="preserve">ODS</t>
  </si>
  <si>
    <t xml:space="preserve">Set
2026</t>
  </si>
  <si>
    <t xml:space="preserve">Out
2026</t>
  </si>
  <si>
    <t xml:space="preserve">Nov
2026</t>
  </si>
  <si>
    <t xml:space="preserve">Dez
2026</t>
  </si>
  <si>
    <t xml:space="preserve">Jan
2027</t>
  </si>
  <si>
    <t xml:space="preserve">Fev
2027</t>
  </si>
  <si>
    <t xml:space="preserve">Mar
2027</t>
  </si>
  <si>
    <t xml:space="preserve">Abr
2027</t>
  </si>
  <si>
    <t xml:space="preserve">Mai
2027</t>
  </si>
  <si>
    <t xml:space="preserve">Jun
2027</t>
  </si>
  <si>
    <t xml:space="preserve">Jul
2027</t>
  </si>
  <si>
    <t xml:space="preserve">Ago
2027</t>
  </si>
  <si>
    <t xml:space="preserve">Estado</t>
  </si>
  <si>
    <t xml:space="preserve">R1. COORDENAÇÃO, ARRANQUE E PARCERIA ESTRATÉGICA</t>
  </si>
  <si>
    <t xml:space="preserve">A.1</t>
  </si>
  <si>
    <t xml:space="preserve">Kick-off e assinatura de MOUs com parceiros (MINTTICS, MED, FAS, UAN)</t>
  </si>
  <si>
    <t xml:space="preserve">Dir.Técnico(a)</t>
  </si>
  <si>
    <t xml:space="preserve">R1</t>
  </si>
  <si>
    <t xml:space="preserve">ODS 17</t>
  </si>
  <si>
    <t xml:space="preserve">Pendente</t>
  </si>
  <si>
    <t xml:space="preserve">A.1.1</t>
  </si>
  <si>
    <t xml:space="preserve">Constituição e mobilização da equipa local de terreno</t>
  </si>
  <si>
    <t xml:space="preserve">Coord.Oper.</t>
  </si>
  <si>
    <t xml:space="preserve">A.1.2</t>
  </si>
  <si>
    <t xml:space="preserve">Reuniões de coordenação bimestrais com parceiros</t>
  </si>
  <si>
    <t xml:space="preserve">A.1.3</t>
  </si>
  <si>
    <t xml:space="preserve">Diagnóstico participativo de necessidades (inquérito pré-formação)</t>
  </si>
  <si>
    <t xml:space="preserve">Esp.Pedagóg.</t>
  </si>
  <si>
    <t xml:space="preserve">ODS 4</t>
  </si>
  <si>
    <t xml:space="preserve">M1</t>
  </si>
  <si>
    <t xml:space="preserve">▲ MILESTONE: Kick-off realizado e MOUs assinados</t>
  </si>
  <si>
    <t xml:space="preserve">▲</t>
  </si>
  <si>
    <t xml:space="preserve">R2. DESENVOLVIMENTO E VALIDAÇÃO CURRICULAR</t>
  </si>
  <si>
    <t xml:space="preserve">A.2</t>
  </si>
  <si>
    <t xml:space="preserve">Desenvolvimento dos 6 módulos curriculares (literacia digital e IA)</t>
  </si>
  <si>
    <t xml:space="preserve">R2</t>
  </si>
  <si>
    <t xml:space="preserve">A.2.1</t>
  </si>
  <si>
    <t xml:space="preserve">Revisão e adaptação de materiais ao contexto angolano (pt/offline)</t>
  </si>
  <si>
    <t xml:space="preserve">A.2.2</t>
  </si>
  <si>
    <t xml:space="preserve">Submissão do currículo ao MED para validação formal</t>
  </si>
  <si>
    <t xml:space="preserve">A.2.3</t>
  </si>
  <si>
    <t xml:space="preserve">Aprovação oficial do currículo pelo MED</t>
  </si>
  <si>
    <t xml:space="preserve">A.2.4</t>
  </si>
  <si>
    <t xml:space="preserve">Produção e impressão do material pedagógico (manuais, guias, fichas)</t>
  </si>
  <si>
    <t xml:space="preserve">Técnico(a) TIC</t>
  </si>
  <si>
    <t xml:space="preserve">M2</t>
  </si>
  <si>
    <t xml:space="preserve">▲ MILESTONE: Currículo de 6 módulos aprovado pelo MED</t>
  </si>
  <si>
    <t xml:space="preserve">R3. FORMAÇÃO DE FORMADORES — ToT (60 FACILITADORES)</t>
  </si>
  <si>
    <t xml:space="preserve">A.3</t>
  </si>
  <si>
    <t xml:space="preserve">Recrutamento e selecção de 60 facilitadores (Luanda)</t>
  </si>
  <si>
    <t xml:space="preserve">R3</t>
  </si>
  <si>
    <t xml:space="preserve">A.3.1</t>
  </si>
  <si>
    <t xml:space="preserve">Formação pedagógica dos facilitadores — Módulos 1–3</t>
  </si>
  <si>
    <t xml:space="preserve">A.3.2</t>
  </si>
  <si>
    <t xml:space="preserve">Formação pedagógica dos facilitadores — Módulos 4–6</t>
  </si>
  <si>
    <t xml:space="preserve">A.3.3</t>
  </si>
  <si>
    <t xml:space="preserve">Avaliação pedagógica e certificação dos 60 facilitadores</t>
  </si>
  <si>
    <t xml:space="preserve">A.3.4</t>
  </si>
  <si>
    <t xml:space="preserve">Distribuição dos tablets e plataforma aos facilitadores</t>
  </si>
  <si>
    <t xml:space="preserve">M3</t>
  </si>
  <si>
    <t xml:space="preserve">▲ MILESTONE: 60 facilitadores certificados (ToT concluído)</t>
  </si>
  <si>
    <t xml:space="preserve">R4. PLATAFORMA DIGITAL OFFLINE</t>
  </si>
  <si>
    <t xml:space="preserve">A.4</t>
  </si>
  <si>
    <t xml:space="preserve">Contratação empresa TIC e desenvolvimento da plataforma offline</t>
  </si>
  <si>
    <t xml:space="preserve">R4</t>
  </si>
  <si>
    <t xml:space="preserve">A.4.1</t>
  </si>
  <si>
    <t xml:space="preserve">Testes beta em ambientes de baixa conectividade (Luanda)</t>
  </si>
  <si>
    <t xml:space="preserve">A.4.2</t>
  </si>
  <si>
    <t xml:space="preserve">Validação técnica e aprovação da plataforma</t>
  </si>
  <si>
    <t xml:space="preserve">A.4.3</t>
  </si>
  <si>
    <t xml:space="preserve">Instalação nos servidores locais e distribução nos 60 tablets</t>
  </si>
  <si>
    <t xml:space="preserve">M4</t>
  </si>
  <si>
    <t xml:space="preserve">▲ MILESTONE: Plataforma offline lançada e distribuída</t>
  </si>
  <si>
    <t xml:space="preserve">R5. FORMAÇÃO PRESENCIAL — 5 000 BENEFICIÁRIOS (50 CICLOS × 6 MÓDULOS = 300 SESSÕES)</t>
  </si>
  <si>
    <t xml:space="preserve">A.5</t>
  </si>
  <si>
    <t xml:space="preserve">Mobilização comunitária e inscrição de participantes</t>
  </si>
  <si>
    <t xml:space="preserve">Assist.Campo</t>
  </si>
  <si>
    <t xml:space="preserve">R5</t>
  </si>
  <si>
    <t xml:space="preserve">A.5.1</t>
  </si>
  <si>
    <t xml:space="preserve">Ciclos de formação — Luanda (50 ciclos × ~100 part.; 6 sessões-módulo por ciclo)</t>
  </si>
  <si>
    <t xml:space="preserve">A.5.2</t>
  </si>
  <si>
    <t xml:space="preserve">Coordenação e escalonamento dos facilitadores (2 por ciclo; ~7 ciclos/mês)</t>
  </si>
  <si>
    <t xml:space="preserve">A.5.3</t>
  </si>
  <si>
    <t xml:space="preserve">Testes pré-formação e pós-formação (diagnóstico/avaliação)</t>
  </si>
  <si>
    <t xml:space="preserve">A.5.4</t>
  </si>
  <si>
    <t xml:space="preserve">Emissão de certificados oficiais (5 000 beneficiários)</t>
  </si>
  <si>
    <t xml:space="preserve">M5</t>
  </si>
  <si>
    <t xml:space="preserve">▲ MILESTONE: 2 500 beneficiários formados — avaliação intermédia</t>
  </si>
  <si>
    <t xml:space="preserve">M6</t>
  </si>
  <si>
    <t xml:space="preserve">▲ MILESTONE: 5 000 beneficiários formados e certificados</t>
  </si>
  <si>
    <t xml:space="preserve">R6. MONITORIZAÇÃO, AVALIAÇÃO E COMUNICAÇÃO</t>
  </si>
  <si>
    <t xml:space="preserve">A.6</t>
  </si>
  <si>
    <t xml:space="preserve">Sistema de M&amp;A: recolha mensal de dados, relatórios trimestrais</t>
  </si>
  <si>
    <t xml:space="preserve">R6</t>
  </si>
  <si>
    <t xml:space="preserve">A.6.1</t>
  </si>
  <si>
    <t xml:space="preserve">Avaliação intermédia (2 500 beneficiários formados — M7)</t>
  </si>
  <si>
    <t xml:space="preserve">Avaliador Ext.</t>
  </si>
  <si>
    <t xml:space="preserve">A.6.2</t>
  </si>
  <si>
    <t xml:space="preserve">Auditoria financeira intercalar (M6)</t>
  </si>
  <si>
    <t xml:space="preserve">Gest.Financ.</t>
  </si>
  <si>
    <t xml:space="preserve">A.6.3</t>
  </si>
  <si>
    <t xml:space="preserve">Relatórios trimestrais ao doador (M3, M6, M9, M12)</t>
  </si>
  <si>
    <t xml:space="preserve">A.6.4</t>
  </si>
  <si>
    <t xml:space="preserve">Actividades de comunicação e visibilidade</t>
  </si>
  <si>
    <t xml:space="preserve">R7. SUSTENTABILIDADE, DISSEMINAÇÃO E ENCERRAMENTO</t>
  </si>
  <si>
    <t xml:space="preserve">A.7</t>
  </si>
  <si>
    <t xml:space="preserve">Integração do currículo no sistema formal angolano (MED)</t>
  </si>
  <si>
    <t xml:space="preserve">R7</t>
  </si>
  <si>
    <t xml:space="preserve">A.7.1</t>
  </si>
  <si>
    <t xml:space="preserve">Avaliação final e relatório de impacto</t>
  </si>
  <si>
    <t xml:space="preserve">A.7.2</t>
  </si>
  <si>
    <t xml:space="preserve">Auditoria financeira final</t>
  </si>
  <si>
    <t xml:space="preserve">A.7.3</t>
  </si>
  <si>
    <t xml:space="preserve">Evento de disseminação final (Luanda — convite doadores)</t>
  </si>
  <si>
    <t xml:space="preserve">A.7.4</t>
  </si>
  <si>
    <t xml:space="preserve">Entrega do relatório final e encerramento formal</t>
  </si>
  <si>
    <t xml:space="preserve">M7</t>
  </si>
  <si>
    <t xml:space="preserve">▲ MILESTONE: Relatório final entregue e projecto encerrado</t>
  </si>
  <si>
    <t xml:space="preserve">MILESTONES E INDICADORES DE DESEMPENHO — PROJECTO ECHO ANGOLA</t>
  </si>
  <si>
    <t xml:space="preserve">Milestone</t>
  </si>
  <si>
    <t xml:space="preserve">Descrição</t>
  </si>
  <si>
    <t xml:space="preserve">Data Prevista</t>
  </si>
  <si>
    <t xml:space="preserve">Indicador de Verificação</t>
  </si>
  <si>
    <t xml:space="preserve">Meio de Verificação</t>
  </si>
  <si>
    <t xml:space="preserve">Kick-off realizado; MOUs assinados com MINTTICS, MED, FAS e UAN; equipa local constituída</t>
  </si>
  <si>
    <t xml:space="preserve">30 Set 2026</t>
  </si>
  <si>
    <t xml:space="preserve">4 MOUs assinados; equipa completa contratada; plano de trabalho aprovado</t>
  </si>
  <si>
    <t xml:space="preserve">MOUs originais; contratos de trabalho; acta de kick-off</t>
  </si>
  <si>
    <t xml:space="preserve">Currículo de 6 módulos em literacia digital e IA adaptado ao contexto angolano e aprovado pelo MED</t>
  </si>
  <si>
    <t xml:space="preserve">31 Dez 2026</t>
  </si>
  <si>
    <t xml:space="preserve">6 módulos publicados em plataforma digital e impressos; carta de aprovação MED</t>
  </si>
  <si>
    <t xml:space="preserve">Currículo publicado online; carta oficial MED; ficheiros PDF dos módulos</t>
  </si>
  <si>
    <t xml:space="preserve">60 facilitadores certificados após Formação de Formadores (ToT) concluída</t>
  </si>
  <si>
    <t xml:space="preserve">31 Jan 2027</t>
  </si>
  <si>
    <t xml:space="preserve">60 certificados emitidos; fichas de avaliação pedagógica ≥70% nota média</t>
  </si>
  <si>
    <t xml:space="preserve">Base de dados de certificados; fichas de avaliação; relatório ToT</t>
  </si>
  <si>
    <t xml:space="preserve">Plataforma digital offline lançada, testada e distribuída nos 60 tablets dos facilitadores</t>
  </si>
  <si>
    <t xml:space="preserve">1 plataforma aprovada; relatório de testes (baixa conectividade); 60 tablets distribuídos</t>
  </si>
  <si>
    <t xml:space="preserve">Relatório de testes técnicos; recibos de entrega tablets; URL da plataforma</t>
  </si>
  <si>
    <t xml:space="preserve">Avaliação intermédia com 2 500 beneficiários formados (ponto de controlo M7)</t>
  </si>
  <si>
    <t xml:space="preserve">31 Mar 2027</t>
  </si>
  <si>
    <t xml:space="preserve">≥2 500 certif. emitidos; taxa abandono &lt;20%; nota média pós-form. ≥70%</t>
  </si>
  <si>
    <t xml:space="preserve">Base de dados participantes; listas de presença; relatório de avaliação intermédia</t>
  </si>
  <si>
    <t xml:space="preserve">5 000 beneficiários formados e certificados em literacia digital e IA</t>
  </si>
  <si>
    <t xml:space="preserve">31 Jul 2027</t>
  </si>
  <si>
    <t xml:space="preserve">5 000 certificados emitidos; 50 ciclos de formação concluídos (300 sessões-módulo) com ~100 part. por ciclo</t>
  </si>
  <si>
    <t xml:space="preserve">Base de dados certificados; listas de presença assinadas; relatório final de formação</t>
  </si>
  <si>
    <t xml:space="preserve">Relatório final entregue ao doador; auditoria financeira concluída; evento de disseminação realizado</t>
  </si>
  <si>
    <t xml:space="preserve">31 Ago 2027</t>
  </si>
  <si>
    <t xml:space="preserve">Relatório final aprovado; auditoria sem ressalvas; ≥100 part. no evento disseminação</t>
  </si>
  <si>
    <t xml:space="preserve">Relatório final; relatório auditoria; lista de presenças evento; press release</t>
  </si>
  <si>
    <t xml:space="preserve">PROJECTO ECHO ANGOLA — CARGA DE TRABALHO E AFECTAÇÃO DE RECURSOS POR FUNÇÃO</t>
  </si>
  <si>
    <t xml:space="preserve">Percentagem de afectação por mês (% de tempo da função dedicado ao projecto). Valores indicativos.</t>
  </si>
  <si>
    <t xml:space="preserve">Função / Cargo</t>
  </si>
  <si>
    <t xml:space="preserve">Tipo</t>
  </si>
  <si>
    <t xml:space="preserve">Total
Meses</t>
  </si>
  <si>
    <t xml:space="preserve">Coordenador(a) Operacional de Terreno</t>
  </si>
  <si>
    <t xml:space="preserve">Local</t>
  </si>
  <si>
    <t xml:space="preserve">100%</t>
  </si>
  <si>
    <t xml:space="preserve">12 meses</t>
  </si>
  <si>
    <t xml:space="preserve">Especialista Pedagógico(a) — Luanda</t>
  </si>
  <si>
    <t xml:space="preserve">Técnico(a) TIC — Luanda</t>
  </si>
  <si>
    <t xml:space="preserve">Assistentes de Campo (×6)</t>
  </si>
  <si>
    <t xml:space="preserve">80%</t>
  </si>
  <si>
    <t xml:space="preserve">Assist. Admin.-Financeiro(a)</t>
  </si>
  <si>
    <t xml:space="preserve">Logístico(a) / Motorista</t>
  </si>
  <si>
    <t xml:space="preserve">Diretor(a) Técnico(a) UCP (30% ETI)</t>
  </si>
  <si>
    <t xml:space="preserve">Intern.</t>
  </si>
  <si>
    <t xml:space="preserve">30%</t>
  </si>
  <si>
    <t xml:space="preserve">Gestora Financeira UCP (20% ETI)</t>
  </si>
  <si>
    <t xml:space="preserve">20%</t>
  </si>
  <si>
    <t xml:space="preserve">Assessor(a) M&amp;A UCP (15% ETI)</t>
  </si>
  <si>
    <t xml:space="preserve">10%</t>
  </si>
  <si>
    <t xml:space="preserve">15%</t>
  </si>
  <si>
    <t xml:space="preserve">Avaliador(a) Externo(a) — M&amp;A</t>
  </si>
  <si>
    <t xml:space="preserve">Externo</t>
  </si>
  <si>
    <t xml:space="preserve">-</t>
  </si>
  <si>
    <t xml:space="preserve">5%</t>
  </si>
  <si>
    <t xml:space="preserve">5 meses</t>
  </si>
  <si>
    <t xml:space="preserve">PLANO DE ACTIVIDADES DETALHADO — PROJECTO ECHO ANGOLA</t>
  </si>
  <si>
    <t xml:space="preserve">Actividade / Descrição Detalhada</t>
  </si>
  <si>
    <t xml:space="preserve">Período</t>
  </si>
  <si>
    <t xml:space="preserve">Entregáveis / Outputs</t>
  </si>
  <si>
    <t xml:space="preserve">Orçamento (USD)</t>
  </si>
  <si>
    <t xml:space="preserve">RESULTADO 1: CAPACIDADE INSTITUCIONAL E PARCERIA ESTRATÉGICA ESTABELECIDA</t>
  </si>
  <si>
    <t xml:space="preserve">Kick-off do projecto e assinatura de Memorandos de Entendimento (MOUs) com MINTTICS, MED, FAS e UAN. Constituição da equipa local de terreno (Luanda). Elaboração e aprovação do plano operacional detalhado.</t>
  </si>
  <si>
    <t xml:space="preserve">Dir.Técnico(a)
+ Coord.Oper.</t>
  </si>
  <si>
    <t xml:space="preserve">M1 – M2</t>
  </si>
  <si>
    <t xml:space="preserve">4 MOUs assinados; equipa local constituída; plano operacional aprovado; acta de kick-off</t>
  </si>
  <si>
    <t xml:space="preserve">Diagnóstico participativo de necessidades dos beneficiários (inquérito pré-formação online e presencial em Luanda). Mapeamento de infraestruturas disponíveis. Análise de contexto.</t>
  </si>
  <si>
    <t xml:space="preserve">Esp.Pedagóg.
+ Assist.Campo</t>
  </si>
  <si>
    <t xml:space="preserve">Relatório de diagnóstico; base de dados beneficiários potenciais; mapa de infraestruturas</t>
  </si>
  <si>
    <t xml:space="preserve">Coordenação estratégica com parceiros ao longo de todo o projecto (reuniões bimestrais). Elaboração de relatórios trimestrais ao doador. Gestão administrativa e financeira contínua.</t>
  </si>
  <si>
    <t xml:space="preserve">Coord.Oper.
+ Dir.Técnico</t>
  </si>
  <si>
    <t xml:space="preserve">M1 – M12</t>
  </si>
  <si>
    <t xml:space="preserve">4 relatórios trimestrais; actas de reunião; relatório final; registos contabilísticos</t>
  </si>
  <si>
    <t xml:space="preserve">RESULTADO 2: CURRÍCULO DE LITERACIA DIGITAL E IA VALIDADO</t>
  </si>
  <si>
    <t xml:space="preserve">Desenvolvimento dos 6 módulos curriculares adaptados ao contexto angolano: (1) Competências Digitais Básicas; (2) Internet, Segurança e Cidadania Digital; (3) Inteligência Artificial: Conceitos Fundamentais; (4) IA no Trabalho e no Empreendedorismo; (5) IA Ética, Desinformação e Poder; (6) IA Aplicada ao Contexto Angolano.</t>
  </si>
  <si>
    <t xml:space="preserve">Esp.Pedagóg.
(Luanda)</t>
  </si>
  <si>
    <t xml:space="preserve">M2 – M3</t>
  </si>
  <si>
    <t xml:space="preserve">6 módulos em PDF e plataforma offline; guia do facilitador; fichas de avaliação</t>
  </si>
  <si>
    <t xml:space="preserve">Revisão linguística, adaptação cultural e tradução de exemplos ao contexto angolano. Produção gráfica e impressão de 6 000 exemplares dos manuais e guias.</t>
  </si>
  <si>
    <t xml:space="preserve">Esp.Pedagóg.
+ Técnico TIC</t>
  </si>
  <si>
    <t xml:space="preserve">M3 – M4</t>
  </si>
  <si>
    <t xml:space="preserve">Manuais impressos (6 000 ex.); ficheiros digitais em formato offline; guias facilitador</t>
  </si>
  <si>
    <t xml:space="preserve">Submissão formal do currículo ao MED e MINTTICS para validação e aprovação oficial. Acompanhamento do processo regulatório.</t>
  </si>
  <si>
    <t xml:space="preserve">Carta de submissão ao MED; processo regulatório instaurado junto MINTTICS</t>
  </si>
  <si>
    <t xml:space="preserve">RESULTADO 3: 60 FACILITADORES CERTIFICADOS (ToT)</t>
  </si>
  <si>
    <t xml:space="preserve">Recrutamento e selecção de 60 facilitadores locais em Luanda através da rede FAS, UAN e escolas parceiras. Critérios: nível superior ou técnico; disponibilidade; perfil pedagógico.</t>
  </si>
  <si>
    <t xml:space="preserve">Coord.Oper.
+ Assist.Campo</t>
  </si>
  <si>
    <t xml:space="preserve">M2 – M4</t>
  </si>
  <si>
    <t xml:space="preserve">60 facilitadores recrutados e contratados; perfis verificados; base de dados</t>
  </si>
  <si>
    <t xml:space="preserve">Formação de Formadores (ToT) — Módulos 1–6 em Luanda (10 dias por grupo, 2 grupos de 30). Metodologia activa e participativa. Prática simulada de sessões.</t>
  </si>
  <si>
    <t xml:space="preserve">M3 – M5</t>
  </si>
  <si>
    <t xml:space="preserve">Relatórios de formação; fichas de avaliação pedagógica; materiais didácticos</t>
  </si>
  <si>
    <t xml:space="preserve">Avaliação pedagógica final dos facilitadores e emissão de certificados oficiais (UCP/CEPCEP + MINTTICS). Distribuição dos tablets e acesso à plataforma offline.</t>
  </si>
  <si>
    <t xml:space="preserve">Esp.Pedagóg.
+ Dir.Técnico</t>
  </si>
  <si>
    <t xml:space="preserve">60 certificados emitidos; fichas de avaliação; recibos de entrega tablets</t>
  </si>
  <si>
    <t xml:space="preserve">RESULTADO 4: PLATAFORMA DIGITAL OFFLINE OPERACIONAL</t>
  </si>
  <si>
    <t xml:space="preserve">Desenvolvimento, testes e lançamento da plataforma digital offline em português. Compatível com dispositivos Android de baixo custo e ambientes de baixa/nula conectividade (funcionamento off-grid).</t>
  </si>
  <si>
    <t xml:space="preserve">Técnico(a) TIC
(Luanda)</t>
  </si>
  <si>
    <t xml:space="preserve">M1 – M5</t>
  </si>
  <si>
    <t xml:space="preserve">Plataforma offline v1.0; relatório de testes; manual técnico; 60 tablets configurados</t>
  </si>
  <si>
    <t xml:space="preserve">RESULTADO 5: 5 000 BENEFICIÁRIOS FORMADOS E CERTIFICADOS</t>
  </si>
  <si>
    <t xml:space="preserve">Realização de 50 ciclos de formação presencial em Luanda (cada ciclo = 6 sessões-módulo de 4h, total 300 sessões), ministrados pelos 60 facilitadores certificados em grupos de ~100 participantes, com 2 facilitadores por ciclo</t>
  </si>
  <si>
    <t xml:space="preserve">Esp.Pedagóg.
+ 60 Facilit.</t>
  </si>
  <si>
    <t xml:space="preserve">M5 – M11</t>
  </si>
  <si>
    <t xml:space="preserve">50 relatórios de ciclo; listas de presença assinadas; avaliações pré/pós</t>
  </si>
  <si>
    <t xml:space="preserve">Mobilização comunitária activa: parceria com FAS, UAN, igrejas, associações. Registo de participantes, comunicação em português simples, sessões de sensibilização prévia.</t>
  </si>
  <si>
    <t xml:space="preserve">M4 – M10</t>
  </si>
  <si>
    <t xml:space="preserve">Base de dados de inscritos; material de comunicação; relatórios de mobilização</t>
  </si>
  <si>
    <t xml:space="preserve">Emissão de 5 000 certificados oficiais aos beneficiários formados (reconhecidos pelo MED e MINTTICS). Evento de entrega e celebração por localidade.</t>
  </si>
  <si>
    <t xml:space="preserve">Dir.Técnico(a)
+ Esp.Pedagóg.</t>
  </si>
  <si>
    <t xml:space="preserve">M10 – M11</t>
  </si>
  <si>
    <t xml:space="preserve">5 000 certificados emitidos e entregues; base de dados certificados; lista de presenças</t>
  </si>
  <si>
    <t xml:space="preserve">RESULTADO 6: MONITORIZAÇÃO, AVALIAÇÃO E COMUNICAÇÃO</t>
  </si>
  <si>
    <t xml:space="preserve">Sistema de M&amp;A integrado: recolha mensal de dados de participação e aprendizagem, relatórios trimestrais ao doador, 2 avaliações externas (intermédia M7; final M12).</t>
  </si>
  <si>
    <t xml:space="preserve">Coord.Oper.
+ Avaliador Ext.</t>
  </si>
  <si>
    <t xml:space="preserve">4 relatórios trimestrais; 2 relatórios avaliação externa; base de dados M&amp;A; dashboard</t>
  </si>
  <si>
    <t xml:space="preserve">Comunicação e visibilidade: site web do projecto, vídeo de disseminação, publicações em redes sociais, 2 comunicados de imprensa. Alinhamento com directrizes do doador.</t>
  </si>
  <si>
    <t xml:space="preserve">Site web activo; 1 vídeo; publicações mensais; 2 press releases; materiais visuais</t>
  </si>
  <si>
    <t xml:space="preserve">RESULTADO 7: SUSTENTABILIDADE E ENCERRAMENTO</t>
  </si>
  <si>
    <t xml:space="preserve">Estratégia de sustentabilidade: integração do currículo no sistema formal angolano; capacidade instalada dos 60 facilitadores; plataforma offline de acesso aberto; transferência para parceiros locais.</t>
  </si>
  <si>
    <t xml:space="preserve">Dir.Técnico(a)
+ MED</t>
  </si>
  <si>
    <t xml:space="preserve">M9 – M12</t>
  </si>
  <si>
    <t xml:space="preserve">MOU de integração curricular com MED; plataforma em domínio público; plano de capacidade</t>
  </si>
  <si>
    <t xml:space="preserve">Evento de disseminação e encerramento em Luanda (convidados: doadores, ministérios, UAN, FAS, beneficiários, media). Apresentação de resultados e impacto.</t>
  </si>
  <si>
    <t xml:space="preserve">Dir.Técnico(a)
+ Toda a Equipa</t>
  </si>
  <si>
    <t xml:space="preserve">M12</t>
  </si>
  <si>
    <t xml:space="preserve">Evento realizado (≥100 participantes); press release; relatório do evento; vídeo</t>
  </si>
  <si>
    <t xml:space="preserve">Auditoria financeira final e entrega do relatório final ao doador. Encerramento administrativo e contabilístico do projecto.</t>
  </si>
  <si>
    <t xml:space="preserve">Gest.Financ.
+ Dir.Técnico</t>
  </si>
  <si>
    <t xml:space="preserve">Relatório final aprovado; relatório auditoria final; documentação financeira arquivada</t>
  </si>
  <si>
    <t xml:space="preserve">TOTAL — CUSTOS DIRECTOS DE ACTIVIDADE</t>
  </si>
  <si>
    <t xml:space="preserve">Nota: os valores desta coluna correspondem aos custos directos específicos de actividade (materiais, serviços, salas, plataforma, avaliação). Os custos transversais — salários da equipa (Rubrica 1), viagens internacionais (Rubrica 2) e escritório do projecto (Rubrica 4) — não são alocados por actividade. A reconciliação completa com o tecto de 500 000 USD consta do Anexo II (Orçamento PRAG).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</si>
</sst>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C9A84C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7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C9A84C"/>
      <name val="Arial"/>
      <family val="0"/>
      <charset val="1"/>
    </font>
    <font>
      <sz val="9"/>
      <color rgb="FF1F3864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9"/>
      <name val="Cambria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D9D9D9"/>
        <bgColor rgb="FFBDD7EE"/>
      </patternFill>
    </fill>
    <fill>
      <patternFill patternType="solid">
        <fgColor rgb="FF4472C4"/>
        <bgColor rgb="FF666699"/>
      </patternFill>
    </fill>
    <fill>
      <patternFill patternType="solid">
        <fgColor rgb="FFED7D31"/>
        <bgColor rgb="FFFF7575"/>
      </patternFill>
    </fill>
    <fill>
      <patternFill patternType="solid">
        <fgColor rgb="FFA9D18E"/>
        <bgColor rgb="FFBDD7EE"/>
      </patternFill>
    </fill>
    <fill>
      <patternFill patternType="solid">
        <fgColor rgb="FFFFD966"/>
        <bgColor rgb="FFFFCC00"/>
      </patternFill>
    </fill>
    <fill>
      <patternFill patternType="solid">
        <fgColor rgb="FF5B9BD5"/>
        <bgColor rgb="FF4472C4"/>
      </patternFill>
    </fill>
    <fill>
      <patternFill patternType="solid">
        <fgColor rgb="FFFF7575"/>
        <bgColor rgb="FFED7D31"/>
      </patternFill>
    </fill>
    <fill>
      <patternFill patternType="solid">
        <fgColor rgb="FFC5A3FF"/>
        <bgColor rgb="FFFF99CC"/>
      </patternFill>
    </fill>
    <fill>
      <patternFill patternType="solid">
        <fgColor rgb="FFFF0000"/>
        <bgColor rgb="FFC00000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9D18E"/>
      <rgbColor rgb="FF888888"/>
      <rgbColor rgb="FF5B9BD5"/>
      <rgbColor rgb="FF993366"/>
      <rgbColor rgb="FFFFF2CC"/>
      <rgbColor rgb="FFF2F2F2"/>
      <rgbColor rgb="FF660066"/>
      <rgbColor rgb="FFFF7575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E0E0"/>
      <rgbColor rgb="FF99CCFF"/>
      <rgbColor rgb="FFFF99CC"/>
      <rgbColor rgb="FFC5A3FF"/>
      <rgbColor rgb="FFFFD966"/>
      <rgbColor rgb="FF4472C4"/>
      <rgbColor rgb="FF33CCCC"/>
      <rgbColor rgb="FF99CC00"/>
      <rgbColor rgb="FFFFCC00"/>
      <rgbColor rgb="FFFF9900"/>
      <rgbColor rgb="FFED7D31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8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17" min="6" style="1" width="5"/>
    <col collapsed="false" customWidth="true" hidden="false" outlineLevel="0" max="18" min="18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4.5" hidden="false" customHeight="true" outlineLevel="0" collapsed="false"/>
    <row r="4" customFormat="false" ht="15.75" hidden="false" customHeight="true" outlineLevel="0" collapsed="false">
      <c r="A4" s="4" t="s">
        <v>2</v>
      </c>
      <c r="B4" s="4"/>
      <c r="C4" s="5" t="s">
        <v>3</v>
      </c>
      <c r="D4" s="5"/>
      <c r="E4" s="6" t="s">
        <v>4</v>
      </c>
      <c r="F4" s="6"/>
      <c r="G4" s="7" t="s">
        <v>5</v>
      </c>
      <c r="H4" s="7"/>
      <c r="I4" s="8" t="s">
        <v>6</v>
      </c>
      <c r="J4" s="8"/>
      <c r="K4" s="9" t="s">
        <v>7</v>
      </c>
      <c r="L4" s="9"/>
      <c r="M4" s="10" t="s">
        <v>8</v>
      </c>
      <c r="N4" s="10"/>
      <c r="O4" s="11" t="s">
        <v>9</v>
      </c>
      <c r="P4" s="11"/>
      <c r="Q4" s="12" t="s">
        <v>10</v>
      </c>
      <c r="R4" s="12"/>
    </row>
    <row r="5" customFormat="false" ht="30" hidden="false" customHeight="true" outlineLevel="0" collapsed="false">
      <c r="A5" s="13" t="s">
        <v>11</v>
      </c>
      <c r="B5" s="14" t="s">
        <v>12</v>
      </c>
      <c r="C5" s="15" t="s">
        <v>13</v>
      </c>
      <c r="D5" s="15" t="s">
        <v>14</v>
      </c>
      <c r="E5" s="13" t="s">
        <v>15</v>
      </c>
      <c r="F5" s="16" t="s">
        <v>16</v>
      </c>
      <c r="G5" s="16" t="s">
        <v>17</v>
      </c>
      <c r="H5" s="16" t="s">
        <v>18</v>
      </c>
      <c r="I5" s="16" t="s">
        <v>19</v>
      </c>
      <c r="J5" s="16" t="s">
        <v>20</v>
      </c>
      <c r="K5" s="16" t="s">
        <v>21</v>
      </c>
      <c r="L5" s="16" t="s">
        <v>22</v>
      </c>
      <c r="M5" s="16" t="s">
        <v>23</v>
      </c>
      <c r="N5" s="16" t="s">
        <v>24</v>
      </c>
      <c r="O5" s="16" t="s">
        <v>25</v>
      </c>
      <c r="P5" s="16" t="s">
        <v>26</v>
      </c>
      <c r="Q5" s="16" t="s">
        <v>27</v>
      </c>
      <c r="R5" s="17" t="s">
        <v>28</v>
      </c>
    </row>
    <row r="6" customFormat="false" ht="18" hidden="false" customHeight="true" outlineLevel="0" collapsed="false">
      <c r="A6" s="18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customFormat="false" ht="19.5" hidden="false" customHeight="true" outlineLevel="0" collapsed="false">
      <c r="A7" s="19" t="s">
        <v>30</v>
      </c>
      <c r="B7" s="20" t="s">
        <v>31</v>
      </c>
      <c r="C7" s="21" t="s">
        <v>32</v>
      </c>
      <c r="D7" s="22" t="s">
        <v>33</v>
      </c>
      <c r="E7" s="22" t="s">
        <v>34</v>
      </c>
      <c r="F7" s="23"/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5" t="s">
        <v>35</v>
      </c>
    </row>
    <row r="8" customFormat="false" ht="18" hidden="false" customHeight="true" outlineLevel="0" collapsed="false">
      <c r="A8" s="26" t="s">
        <v>36</v>
      </c>
      <c r="B8" s="27" t="s">
        <v>37</v>
      </c>
      <c r="C8" s="28" t="s">
        <v>38</v>
      </c>
      <c r="D8" s="26" t="s">
        <v>33</v>
      </c>
      <c r="E8" s="26" t="s">
        <v>34</v>
      </c>
      <c r="F8" s="23"/>
      <c r="G8" s="23"/>
      <c r="H8" s="29"/>
      <c r="I8" s="29"/>
      <c r="J8" s="29"/>
      <c r="K8" s="29"/>
      <c r="L8" s="29"/>
      <c r="M8" s="29"/>
      <c r="N8" s="29"/>
      <c r="O8" s="29"/>
      <c r="P8" s="29"/>
      <c r="Q8" s="29"/>
      <c r="R8" s="30" t="s">
        <v>35</v>
      </c>
    </row>
    <row r="9" customFormat="false" ht="18" hidden="false" customHeight="true" outlineLevel="0" collapsed="false">
      <c r="A9" s="26" t="s">
        <v>39</v>
      </c>
      <c r="B9" s="27" t="s">
        <v>40</v>
      </c>
      <c r="C9" s="28" t="s">
        <v>38</v>
      </c>
      <c r="D9" s="26" t="s">
        <v>33</v>
      </c>
      <c r="E9" s="26" t="s">
        <v>34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30" t="s">
        <v>35</v>
      </c>
    </row>
    <row r="10" customFormat="false" ht="18" hidden="false" customHeight="true" outlineLevel="0" collapsed="false">
      <c r="A10" s="26" t="s">
        <v>41</v>
      </c>
      <c r="B10" s="27" t="s">
        <v>42</v>
      </c>
      <c r="C10" s="28" t="s">
        <v>43</v>
      </c>
      <c r="D10" s="26" t="s">
        <v>33</v>
      </c>
      <c r="E10" s="26" t="s">
        <v>44</v>
      </c>
      <c r="F10" s="23"/>
      <c r="G10" s="23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30" t="s">
        <v>35</v>
      </c>
    </row>
    <row r="11" customFormat="false" ht="18" hidden="false" customHeight="true" outlineLevel="0" collapsed="false">
      <c r="A11" s="31" t="s">
        <v>45</v>
      </c>
      <c r="B11" s="32" t="s">
        <v>46</v>
      </c>
      <c r="C11" s="33"/>
      <c r="D11" s="33"/>
      <c r="E11" s="33"/>
      <c r="F11" s="34" t="s">
        <v>47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5" t="s">
        <v>35</v>
      </c>
    </row>
    <row r="12" customFormat="false" ht="18" hidden="false" customHeight="true" outlineLevel="0" collapsed="false">
      <c r="A12" s="36" t="s">
        <v>48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</row>
    <row r="13" customFormat="false" ht="19.5" hidden="false" customHeight="true" outlineLevel="0" collapsed="false">
      <c r="A13" s="19" t="s">
        <v>49</v>
      </c>
      <c r="B13" s="20" t="s">
        <v>50</v>
      </c>
      <c r="C13" s="21" t="s">
        <v>43</v>
      </c>
      <c r="D13" s="22" t="s">
        <v>51</v>
      </c>
      <c r="E13" s="22" t="s">
        <v>44</v>
      </c>
      <c r="F13" s="24"/>
      <c r="G13" s="37"/>
      <c r="H13" s="37"/>
      <c r="I13" s="24"/>
      <c r="J13" s="24"/>
      <c r="K13" s="24"/>
      <c r="L13" s="24"/>
      <c r="M13" s="24"/>
      <c r="N13" s="24"/>
      <c r="O13" s="24"/>
      <c r="P13" s="24"/>
      <c r="Q13" s="24"/>
      <c r="R13" s="25" t="s">
        <v>35</v>
      </c>
    </row>
    <row r="14" customFormat="false" ht="18" hidden="false" customHeight="true" outlineLevel="0" collapsed="false">
      <c r="A14" s="26" t="s">
        <v>52</v>
      </c>
      <c r="B14" s="27" t="s">
        <v>53</v>
      </c>
      <c r="C14" s="28" t="s">
        <v>43</v>
      </c>
      <c r="D14" s="26" t="s">
        <v>51</v>
      </c>
      <c r="E14" s="26" t="s">
        <v>44</v>
      </c>
      <c r="F14" s="29"/>
      <c r="G14" s="37"/>
      <c r="H14" s="37"/>
      <c r="I14" s="37"/>
      <c r="J14" s="29"/>
      <c r="K14" s="29"/>
      <c r="L14" s="29"/>
      <c r="M14" s="29"/>
      <c r="N14" s="29"/>
      <c r="O14" s="29"/>
      <c r="P14" s="29"/>
      <c r="Q14" s="29"/>
      <c r="R14" s="30" t="s">
        <v>35</v>
      </c>
    </row>
    <row r="15" customFormat="false" ht="18" hidden="false" customHeight="true" outlineLevel="0" collapsed="false">
      <c r="A15" s="26" t="s">
        <v>54</v>
      </c>
      <c r="B15" s="27" t="s">
        <v>55</v>
      </c>
      <c r="C15" s="28" t="s">
        <v>32</v>
      </c>
      <c r="D15" s="26" t="s">
        <v>51</v>
      </c>
      <c r="E15" s="26" t="s">
        <v>44</v>
      </c>
      <c r="F15" s="29"/>
      <c r="G15" s="29"/>
      <c r="H15" s="37"/>
      <c r="I15" s="29"/>
      <c r="J15" s="29"/>
      <c r="K15" s="29"/>
      <c r="L15" s="29"/>
      <c r="M15" s="29"/>
      <c r="N15" s="29"/>
      <c r="O15" s="29"/>
      <c r="P15" s="29"/>
      <c r="Q15" s="29"/>
      <c r="R15" s="30" t="s">
        <v>35</v>
      </c>
    </row>
    <row r="16" customFormat="false" ht="18" hidden="false" customHeight="true" outlineLevel="0" collapsed="false">
      <c r="A16" s="26" t="s">
        <v>56</v>
      </c>
      <c r="B16" s="27" t="s">
        <v>57</v>
      </c>
      <c r="C16" s="28" t="s">
        <v>32</v>
      </c>
      <c r="D16" s="26" t="s">
        <v>51</v>
      </c>
      <c r="E16" s="26" t="s">
        <v>44</v>
      </c>
      <c r="F16" s="29"/>
      <c r="G16" s="29"/>
      <c r="H16" s="29"/>
      <c r="I16" s="37"/>
      <c r="J16" s="29"/>
      <c r="K16" s="29"/>
      <c r="L16" s="29"/>
      <c r="M16" s="29"/>
      <c r="N16" s="29"/>
      <c r="O16" s="29"/>
      <c r="P16" s="29"/>
      <c r="Q16" s="29"/>
      <c r="R16" s="30" t="s">
        <v>35</v>
      </c>
    </row>
    <row r="17" customFormat="false" ht="18" hidden="false" customHeight="true" outlineLevel="0" collapsed="false">
      <c r="A17" s="26" t="s">
        <v>58</v>
      </c>
      <c r="B17" s="27" t="s">
        <v>59</v>
      </c>
      <c r="C17" s="28" t="s">
        <v>60</v>
      </c>
      <c r="D17" s="26" t="s">
        <v>51</v>
      </c>
      <c r="E17" s="26" t="s">
        <v>44</v>
      </c>
      <c r="F17" s="29"/>
      <c r="G17" s="29"/>
      <c r="H17" s="37"/>
      <c r="I17" s="37"/>
      <c r="J17" s="29"/>
      <c r="K17" s="29"/>
      <c r="L17" s="29"/>
      <c r="M17" s="29"/>
      <c r="N17" s="29"/>
      <c r="O17" s="29"/>
      <c r="P17" s="29"/>
      <c r="Q17" s="29"/>
      <c r="R17" s="30" t="s">
        <v>35</v>
      </c>
    </row>
    <row r="18" customFormat="false" ht="18" hidden="false" customHeight="true" outlineLevel="0" collapsed="false">
      <c r="A18" s="31" t="s">
        <v>61</v>
      </c>
      <c r="B18" s="32" t="s">
        <v>62</v>
      </c>
      <c r="C18" s="33"/>
      <c r="D18" s="33"/>
      <c r="E18" s="33"/>
      <c r="F18" s="33"/>
      <c r="G18" s="33"/>
      <c r="H18" s="33"/>
      <c r="I18" s="34" t="s">
        <v>47</v>
      </c>
      <c r="J18" s="33"/>
      <c r="K18" s="33"/>
      <c r="L18" s="33"/>
      <c r="M18" s="33"/>
      <c r="N18" s="33"/>
      <c r="O18" s="33"/>
      <c r="P18" s="33"/>
      <c r="Q18" s="33"/>
      <c r="R18" s="35" t="s">
        <v>35</v>
      </c>
    </row>
    <row r="19" customFormat="false" ht="18" hidden="false" customHeight="true" outlineLevel="0" collapsed="false">
      <c r="A19" s="38" t="s">
        <v>63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</row>
    <row r="20" customFormat="false" ht="19.5" hidden="false" customHeight="true" outlineLevel="0" collapsed="false">
      <c r="A20" s="19" t="s">
        <v>64</v>
      </c>
      <c r="B20" s="20" t="s">
        <v>65</v>
      </c>
      <c r="C20" s="21" t="s">
        <v>38</v>
      </c>
      <c r="D20" s="22" t="s">
        <v>66</v>
      </c>
      <c r="E20" s="22" t="s">
        <v>44</v>
      </c>
      <c r="F20" s="24"/>
      <c r="G20" s="39"/>
      <c r="H20" s="39"/>
      <c r="I20" s="39"/>
      <c r="J20" s="24"/>
      <c r="K20" s="24"/>
      <c r="L20" s="24"/>
      <c r="M20" s="24"/>
      <c r="N20" s="24"/>
      <c r="O20" s="24"/>
      <c r="P20" s="24"/>
      <c r="Q20" s="24"/>
      <c r="R20" s="25" t="s">
        <v>35</v>
      </c>
    </row>
    <row r="21" customFormat="false" ht="18" hidden="false" customHeight="true" outlineLevel="0" collapsed="false">
      <c r="A21" s="26" t="s">
        <v>67</v>
      </c>
      <c r="B21" s="27" t="s">
        <v>68</v>
      </c>
      <c r="C21" s="28" t="s">
        <v>43</v>
      </c>
      <c r="D21" s="26" t="s">
        <v>66</v>
      </c>
      <c r="E21" s="26" t="s">
        <v>44</v>
      </c>
      <c r="F21" s="29"/>
      <c r="G21" s="29"/>
      <c r="H21" s="39"/>
      <c r="I21" s="39"/>
      <c r="J21" s="39"/>
      <c r="K21" s="29"/>
      <c r="L21" s="29"/>
      <c r="M21" s="29"/>
      <c r="N21" s="29"/>
      <c r="O21" s="29"/>
      <c r="P21" s="29"/>
      <c r="Q21" s="29"/>
      <c r="R21" s="30" t="s">
        <v>35</v>
      </c>
    </row>
    <row r="22" customFormat="false" ht="18" hidden="false" customHeight="true" outlineLevel="0" collapsed="false">
      <c r="A22" s="26" t="s">
        <v>69</v>
      </c>
      <c r="B22" s="27" t="s">
        <v>70</v>
      </c>
      <c r="C22" s="28" t="s">
        <v>43</v>
      </c>
      <c r="D22" s="26" t="s">
        <v>66</v>
      </c>
      <c r="E22" s="26" t="s">
        <v>44</v>
      </c>
      <c r="F22" s="29"/>
      <c r="G22" s="29"/>
      <c r="H22" s="29"/>
      <c r="I22" s="39"/>
      <c r="J22" s="39"/>
      <c r="K22" s="29"/>
      <c r="L22" s="29"/>
      <c r="M22" s="29"/>
      <c r="N22" s="29"/>
      <c r="O22" s="29"/>
      <c r="P22" s="29"/>
      <c r="Q22" s="29"/>
      <c r="R22" s="30" t="s">
        <v>35</v>
      </c>
    </row>
    <row r="23" customFormat="false" ht="18" hidden="false" customHeight="true" outlineLevel="0" collapsed="false">
      <c r="A23" s="26" t="s">
        <v>71</v>
      </c>
      <c r="B23" s="27" t="s">
        <v>72</v>
      </c>
      <c r="C23" s="28" t="s">
        <v>43</v>
      </c>
      <c r="D23" s="26" t="s">
        <v>66</v>
      </c>
      <c r="E23" s="26" t="s">
        <v>44</v>
      </c>
      <c r="F23" s="29"/>
      <c r="G23" s="29"/>
      <c r="H23" s="29"/>
      <c r="I23" s="29"/>
      <c r="J23" s="39"/>
      <c r="K23" s="29"/>
      <c r="L23" s="29"/>
      <c r="M23" s="29"/>
      <c r="N23" s="29"/>
      <c r="O23" s="29"/>
      <c r="P23" s="29"/>
      <c r="Q23" s="29"/>
      <c r="R23" s="30" t="s">
        <v>35</v>
      </c>
    </row>
    <row r="24" customFormat="false" ht="18" hidden="false" customHeight="true" outlineLevel="0" collapsed="false">
      <c r="A24" s="26" t="s">
        <v>73</v>
      </c>
      <c r="B24" s="27" t="s">
        <v>74</v>
      </c>
      <c r="C24" s="28" t="s">
        <v>60</v>
      </c>
      <c r="D24" s="26" t="s">
        <v>66</v>
      </c>
      <c r="E24" s="26" t="s">
        <v>44</v>
      </c>
      <c r="F24" s="29"/>
      <c r="G24" s="29"/>
      <c r="H24" s="29"/>
      <c r="I24" s="29"/>
      <c r="J24" s="39"/>
      <c r="K24" s="29"/>
      <c r="L24" s="29"/>
      <c r="M24" s="29"/>
      <c r="N24" s="29"/>
      <c r="O24" s="29"/>
      <c r="P24" s="29"/>
      <c r="Q24" s="29"/>
      <c r="R24" s="30" t="s">
        <v>35</v>
      </c>
    </row>
    <row r="25" customFormat="false" ht="18" hidden="false" customHeight="true" outlineLevel="0" collapsed="false">
      <c r="A25" s="31" t="s">
        <v>75</v>
      </c>
      <c r="B25" s="32" t="s">
        <v>76</v>
      </c>
      <c r="C25" s="33"/>
      <c r="D25" s="33"/>
      <c r="E25" s="33"/>
      <c r="F25" s="33"/>
      <c r="G25" s="33"/>
      <c r="H25" s="33"/>
      <c r="I25" s="33"/>
      <c r="J25" s="34" t="s">
        <v>47</v>
      </c>
      <c r="K25" s="33"/>
      <c r="L25" s="33"/>
      <c r="M25" s="33"/>
      <c r="N25" s="33"/>
      <c r="O25" s="33"/>
      <c r="P25" s="33"/>
      <c r="Q25" s="33"/>
      <c r="R25" s="35" t="s">
        <v>35</v>
      </c>
    </row>
    <row r="26" customFormat="false" ht="18" hidden="false" customHeight="true" outlineLevel="0" collapsed="false">
      <c r="A26" s="40" t="s">
        <v>77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</row>
    <row r="27" customFormat="false" ht="19.5" hidden="false" customHeight="true" outlineLevel="0" collapsed="false">
      <c r="A27" s="19" t="s">
        <v>78</v>
      </c>
      <c r="B27" s="20" t="s">
        <v>79</v>
      </c>
      <c r="C27" s="21" t="s">
        <v>60</v>
      </c>
      <c r="D27" s="22" t="s">
        <v>80</v>
      </c>
      <c r="E27" s="22" t="s">
        <v>44</v>
      </c>
      <c r="F27" s="41"/>
      <c r="G27" s="41"/>
      <c r="H27" s="41"/>
      <c r="I27" s="24"/>
      <c r="J27" s="24"/>
      <c r="K27" s="24"/>
      <c r="L27" s="24"/>
      <c r="M27" s="24"/>
      <c r="N27" s="24"/>
      <c r="O27" s="24"/>
      <c r="P27" s="24"/>
      <c r="Q27" s="24"/>
      <c r="R27" s="25" t="s">
        <v>35</v>
      </c>
    </row>
    <row r="28" customFormat="false" ht="18" hidden="false" customHeight="true" outlineLevel="0" collapsed="false">
      <c r="A28" s="26" t="s">
        <v>81</v>
      </c>
      <c r="B28" s="27" t="s">
        <v>82</v>
      </c>
      <c r="C28" s="28" t="s">
        <v>60</v>
      </c>
      <c r="D28" s="26" t="s">
        <v>80</v>
      </c>
      <c r="E28" s="26" t="s">
        <v>44</v>
      </c>
      <c r="F28" s="29"/>
      <c r="G28" s="29"/>
      <c r="H28" s="29"/>
      <c r="I28" s="41"/>
      <c r="J28" s="29"/>
      <c r="K28" s="29"/>
      <c r="L28" s="29"/>
      <c r="M28" s="29"/>
      <c r="N28" s="29"/>
      <c r="O28" s="29"/>
      <c r="P28" s="29"/>
      <c r="Q28" s="29"/>
      <c r="R28" s="30" t="s">
        <v>35</v>
      </c>
    </row>
    <row r="29" customFormat="false" ht="18" hidden="false" customHeight="true" outlineLevel="0" collapsed="false">
      <c r="A29" s="26" t="s">
        <v>83</v>
      </c>
      <c r="B29" s="27" t="s">
        <v>84</v>
      </c>
      <c r="C29" s="28" t="s">
        <v>60</v>
      </c>
      <c r="D29" s="26" t="s">
        <v>80</v>
      </c>
      <c r="E29" s="26" t="s">
        <v>44</v>
      </c>
      <c r="F29" s="29"/>
      <c r="G29" s="29"/>
      <c r="H29" s="29"/>
      <c r="I29" s="41"/>
      <c r="J29" s="41"/>
      <c r="K29" s="29"/>
      <c r="L29" s="29"/>
      <c r="M29" s="29"/>
      <c r="N29" s="29"/>
      <c r="O29" s="29"/>
      <c r="P29" s="29"/>
      <c r="Q29" s="29"/>
      <c r="R29" s="30" t="s">
        <v>35</v>
      </c>
    </row>
    <row r="30" customFormat="false" ht="18" hidden="false" customHeight="true" outlineLevel="0" collapsed="false">
      <c r="A30" s="26" t="s">
        <v>85</v>
      </c>
      <c r="B30" s="27" t="s">
        <v>86</v>
      </c>
      <c r="C30" s="28" t="s">
        <v>60</v>
      </c>
      <c r="D30" s="26" t="s">
        <v>80</v>
      </c>
      <c r="E30" s="26" t="s">
        <v>44</v>
      </c>
      <c r="F30" s="29"/>
      <c r="G30" s="29"/>
      <c r="H30" s="29"/>
      <c r="I30" s="29"/>
      <c r="J30" s="41"/>
      <c r="K30" s="29"/>
      <c r="L30" s="29"/>
      <c r="M30" s="29"/>
      <c r="N30" s="29"/>
      <c r="O30" s="29"/>
      <c r="P30" s="29"/>
      <c r="Q30" s="29"/>
      <c r="R30" s="30" t="s">
        <v>35</v>
      </c>
    </row>
    <row r="31" customFormat="false" ht="18" hidden="false" customHeight="true" outlineLevel="0" collapsed="false">
      <c r="A31" s="31" t="s">
        <v>87</v>
      </c>
      <c r="B31" s="32" t="s">
        <v>88</v>
      </c>
      <c r="C31" s="33"/>
      <c r="D31" s="33"/>
      <c r="E31" s="33"/>
      <c r="F31" s="33"/>
      <c r="G31" s="33"/>
      <c r="H31" s="33"/>
      <c r="I31" s="33"/>
      <c r="J31" s="34" t="s">
        <v>47</v>
      </c>
      <c r="K31" s="33"/>
      <c r="L31" s="33"/>
      <c r="M31" s="33"/>
      <c r="N31" s="33"/>
      <c r="O31" s="33"/>
      <c r="P31" s="33"/>
      <c r="Q31" s="33"/>
      <c r="R31" s="35" t="s">
        <v>35</v>
      </c>
    </row>
    <row r="32" customFormat="false" ht="18" hidden="false" customHeight="true" outlineLevel="0" collapsed="false">
      <c r="A32" s="42" t="s">
        <v>89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</row>
    <row r="33" customFormat="false" ht="19.5" hidden="false" customHeight="true" outlineLevel="0" collapsed="false">
      <c r="A33" s="19" t="s">
        <v>90</v>
      </c>
      <c r="B33" s="20" t="s">
        <v>91</v>
      </c>
      <c r="C33" s="21" t="s">
        <v>92</v>
      </c>
      <c r="D33" s="22" t="s">
        <v>93</v>
      </c>
      <c r="E33" s="22" t="s">
        <v>44</v>
      </c>
      <c r="F33" s="24"/>
      <c r="G33" s="24"/>
      <c r="H33" s="24"/>
      <c r="I33" s="43"/>
      <c r="J33" s="43"/>
      <c r="K33" s="43"/>
      <c r="L33" s="43"/>
      <c r="M33" s="43"/>
      <c r="N33" s="43"/>
      <c r="O33" s="43"/>
      <c r="P33" s="43"/>
      <c r="Q33" s="24"/>
      <c r="R33" s="25" t="s">
        <v>35</v>
      </c>
    </row>
    <row r="34" customFormat="false" ht="18" hidden="false" customHeight="true" outlineLevel="0" collapsed="false">
      <c r="A34" s="26" t="s">
        <v>94</v>
      </c>
      <c r="B34" s="27" t="s">
        <v>95</v>
      </c>
      <c r="C34" s="28" t="s">
        <v>43</v>
      </c>
      <c r="D34" s="26" t="s">
        <v>93</v>
      </c>
      <c r="E34" s="26" t="s">
        <v>44</v>
      </c>
      <c r="F34" s="29"/>
      <c r="G34" s="29"/>
      <c r="H34" s="29"/>
      <c r="I34" s="29"/>
      <c r="J34" s="43"/>
      <c r="K34" s="43"/>
      <c r="L34" s="43"/>
      <c r="M34" s="43"/>
      <c r="N34" s="43"/>
      <c r="O34" s="43"/>
      <c r="P34" s="43"/>
      <c r="Q34" s="29"/>
      <c r="R34" s="30" t="s">
        <v>35</v>
      </c>
    </row>
    <row r="35" customFormat="false" ht="18" hidden="false" customHeight="true" outlineLevel="0" collapsed="false">
      <c r="A35" s="26" t="s">
        <v>96</v>
      </c>
      <c r="B35" s="27" t="s">
        <v>97</v>
      </c>
      <c r="C35" s="28" t="s">
        <v>43</v>
      </c>
      <c r="D35" s="26" t="s">
        <v>93</v>
      </c>
      <c r="E35" s="26" t="s">
        <v>44</v>
      </c>
      <c r="F35" s="29"/>
      <c r="G35" s="29"/>
      <c r="H35" s="29"/>
      <c r="I35" s="29"/>
      <c r="J35" s="43"/>
      <c r="K35" s="43"/>
      <c r="L35" s="43"/>
      <c r="M35" s="43"/>
      <c r="N35" s="43"/>
      <c r="O35" s="43"/>
      <c r="P35" s="43"/>
      <c r="Q35" s="29"/>
      <c r="R35" s="30" t="s">
        <v>35</v>
      </c>
    </row>
    <row r="36" customFormat="false" ht="18" hidden="false" customHeight="true" outlineLevel="0" collapsed="false">
      <c r="A36" s="26" t="s">
        <v>98</v>
      </c>
      <c r="B36" s="27" t="s">
        <v>99</v>
      </c>
      <c r="C36" s="28" t="s">
        <v>43</v>
      </c>
      <c r="D36" s="26" t="s">
        <v>93</v>
      </c>
      <c r="E36" s="26" t="s">
        <v>44</v>
      </c>
      <c r="F36" s="29"/>
      <c r="G36" s="29"/>
      <c r="H36" s="29"/>
      <c r="I36" s="29"/>
      <c r="J36" s="43"/>
      <c r="K36" s="43"/>
      <c r="L36" s="43"/>
      <c r="M36" s="43"/>
      <c r="N36" s="43"/>
      <c r="O36" s="43"/>
      <c r="P36" s="43"/>
      <c r="Q36" s="29"/>
      <c r="R36" s="30" t="s">
        <v>35</v>
      </c>
    </row>
    <row r="37" customFormat="false" ht="18" hidden="false" customHeight="true" outlineLevel="0" collapsed="false">
      <c r="A37" s="26" t="s">
        <v>100</v>
      </c>
      <c r="B37" s="27" t="s">
        <v>101</v>
      </c>
      <c r="C37" s="28" t="s">
        <v>43</v>
      </c>
      <c r="D37" s="26" t="s">
        <v>93</v>
      </c>
      <c r="E37" s="26" t="s">
        <v>44</v>
      </c>
      <c r="F37" s="29"/>
      <c r="G37" s="29"/>
      <c r="H37" s="29"/>
      <c r="I37" s="29"/>
      <c r="J37" s="29"/>
      <c r="K37" s="29"/>
      <c r="L37" s="29"/>
      <c r="M37" s="29"/>
      <c r="N37" s="29"/>
      <c r="O37" s="43"/>
      <c r="P37" s="43"/>
      <c r="Q37" s="29"/>
      <c r="R37" s="30" t="s">
        <v>35</v>
      </c>
    </row>
    <row r="38" customFormat="false" ht="18" hidden="false" customHeight="true" outlineLevel="0" collapsed="false">
      <c r="A38" s="31" t="s">
        <v>102</v>
      </c>
      <c r="B38" s="32" t="s">
        <v>103</v>
      </c>
      <c r="C38" s="33"/>
      <c r="D38" s="33"/>
      <c r="E38" s="33"/>
      <c r="F38" s="33"/>
      <c r="G38" s="33"/>
      <c r="H38" s="33"/>
      <c r="I38" s="33"/>
      <c r="J38" s="33"/>
      <c r="K38" s="33"/>
      <c r="L38" s="34" t="s">
        <v>47</v>
      </c>
      <c r="M38" s="33"/>
      <c r="N38" s="33"/>
      <c r="O38" s="33"/>
      <c r="P38" s="33"/>
      <c r="Q38" s="33"/>
      <c r="R38" s="35" t="s">
        <v>35</v>
      </c>
    </row>
    <row r="39" customFormat="false" ht="18" hidden="false" customHeight="true" outlineLevel="0" collapsed="false">
      <c r="A39" s="31" t="s">
        <v>104</v>
      </c>
      <c r="B39" s="32" t="s">
        <v>105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4" t="s">
        <v>47</v>
      </c>
      <c r="Q39" s="33"/>
      <c r="R39" s="35" t="s">
        <v>35</v>
      </c>
    </row>
    <row r="40" customFormat="false" ht="18" hidden="false" customHeight="true" outlineLevel="0" collapsed="false">
      <c r="A40" s="44" t="s">
        <v>106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</row>
    <row r="41" customFormat="false" ht="19.5" hidden="false" customHeight="true" outlineLevel="0" collapsed="false">
      <c r="A41" s="19" t="s">
        <v>107</v>
      </c>
      <c r="B41" s="20" t="s">
        <v>108</v>
      </c>
      <c r="C41" s="21" t="s">
        <v>38</v>
      </c>
      <c r="D41" s="22" t="s">
        <v>109</v>
      </c>
      <c r="E41" s="22" t="s">
        <v>34</v>
      </c>
      <c r="F41" s="24"/>
      <c r="G41" s="24"/>
      <c r="H41" s="24"/>
      <c r="I41" s="24"/>
      <c r="J41" s="45"/>
      <c r="K41" s="45"/>
      <c r="L41" s="45"/>
      <c r="M41" s="45"/>
      <c r="N41" s="45"/>
      <c r="O41" s="45"/>
      <c r="P41" s="45"/>
      <c r="Q41" s="45"/>
      <c r="R41" s="25" t="s">
        <v>35</v>
      </c>
    </row>
    <row r="42" customFormat="false" ht="18" hidden="false" customHeight="true" outlineLevel="0" collapsed="false">
      <c r="A42" s="26" t="s">
        <v>110</v>
      </c>
      <c r="B42" s="27" t="s">
        <v>111</v>
      </c>
      <c r="C42" s="28" t="s">
        <v>112</v>
      </c>
      <c r="D42" s="26" t="s">
        <v>109</v>
      </c>
      <c r="E42" s="26" t="s">
        <v>34</v>
      </c>
      <c r="F42" s="29"/>
      <c r="G42" s="29"/>
      <c r="H42" s="29"/>
      <c r="I42" s="29"/>
      <c r="J42" s="29"/>
      <c r="K42" s="29"/>
      <c r="L42" s="45"/>
      <c r="M42" s="29"/>
      <c r="N42" s="29"/>
      <c r="O42" s="29"/>
      <c r="P42" s="29"/>
      <c r="Q42" s="29"/>
      <c r="R42" s="30" t="s">
        <v>35</v>
      </c>
    </row>
    <row r="43" customFormat="false" ht="18" hidden="false" customHeight="true" outlineLevel="0" collapsed="false">
      <c r="A43" s="26" t="s">
        <v>113</v>
      </c>
      <c r="B43" s="27" t="s">
        <v>114</v>
      </c>
      <c r="C43" s="28" t="s">
        <v>115</v>
      </c>
      <c r="D43" s="26" t="s">
        <v>109</v>
      </c>
      <c r="E43" s="26" t="s">
        <v>34</v>
      </c>
      <c r="F43" s="29"/>
      <c r="G43" s="29"/>
      <c r="H43" s="29"/>
      <c r="I43" s="29"/>
      <c r="J43" s="29"/>
      <c r="K43" s="45"/>
      <c r="L43" s="29"/>
      <c r="M43" s="29"/>
      <c r="N43" s="29"/>
      <c r="O43" s="29"/>
      <c r="P43" s="29"/>
      <c r="Q43" s="29"/>
      <c r="R43" s="30" t="s">
        <v>35</v>
      </c>
    </row>
    <row r="44" customFormat="false" ht="18" hidden="false" customHeight="true" outlineLevel="0" collapsed="false">
      <c r="A44" s="26" t="s">
        <v>116</v>
      </c>
      <c r="B44" s="27" t="s">
        <v>117</v>
      </c>
      <c r="C44" s="28" t="s">
        <v>32</v>
      </c>
      <c r="D44" s="26" t="s">
        <v>109</v>
      </c>
      <c r="E44" s="26" t="s">
        <v>34</v>
      </c>
      <c r="F44" s="29"/>
      <c r="G44" s="29"/>
      <c r="H44" s="45"/>
      <c r="I44" s="29"/>
      <c r="J44" s="29"/>
      <c r="K44" s="45"/>
      <c r="L44" s="29"/>
      <c r="M44" s="29"/>
      <c r="N44" s="45"/>
      <c r="O44" s="29"/>
      <c r="P44" s="29"/>
      <c r="Q44" s="45"/>
      <c r="R44" s="30" t="s">
        <v>35</v>
      </c>
    </row>
    <row r="45" customFormat="false" ht="18" hidden="false" customHeight="true" outlineLevel="0" collapsed="false">
      <c r="A45" s="26" t="s">
        <v>118</v>
      </c>
      <c r="B45" s="27" t="s">
        <v>119</v>
      </c>
      <c r="C45" s="28" t="s">
        <v>38</v>
      </c>
      <c r="D45" s="26" t="s">
        <v>109</v>
      </c>
      <c r="E45" s="26" t="s">
        <v>34</v>
      </c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30" t="s">
        <v>35</v>
      </c>
    </row>
    <row r="46" customFormat="false" ht="18" hidden="false" customHeight="true" outlineLevel="0" collapsed="false">
      <c r="A46" s="46" t="s">
        <v>120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</row>
    <row r="47" customFormat="false" ht="19.5" hidden="false" customHeight="true" outlineLevel="0" collapsed="false">
      <c r="A47" s="19" t="s">
        <v>121</v>
      </c>
      <c r="B47" s="20" t="s">
        <v>122</v>
      </c>
      <c r="C47" s="21" t="s">
        <v>32</v>
      </c>
      <c r="D47" s="22" t="s">
        <v>123</v>
      </c>
      <c r="E47" s="22" t="s">
        <v>44</v>
      </c>
      <c r="F47" s="24"/>
      <c r="G47" s="24"/>
      <c r="H47" s="24"/>
      <c r="I47" s="24"/>
      <c r="J47" s="24"/>
      <c r="K47" s="24"/>
      <c r="L47" s="24"/>
      <c r="M47" s="24"/>
      <c r="N47" s="47"/>
      <c r="O47" s="47"/>
      <c r="P47" s="47"/>
      <c r="Q47" s="47"/>
      <c r="R47" s="25" t="s">
        <v>35</v>
      </c>
    </row>
    <row r="48" customFormat="false" ht="18" hidden="false" customHeight="true" outlineLevel="0" collapsed="false">
      <c r="A48" s="26" t="s">
        <v>124</v>
      </c>
      <c r="B48" s="27" t="s">
        <v>125</v>
      </c>
      <c r="C48" s="28" t="s">
        <v>112</v>
      </c>
      <c r="D48" s="26" t="s">
        <v>123</v>
      </c>
      <c r="E48" s="26" t="s">
        <v>34</v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47"/>
      <c r="Q48" s="47"/>
      <c r="R48" s="30" t="s">
        <v>35</v>
      </c>
    </row>
    <row r="49" customFormat="false" ht="18" hidden="false" customHeight="true" outlineLevel="0" collapsed="false">
      <c r="A49" s="26" t="s">
        <v>126</v>
      </c>
      <c r="B49" s="27" t="s">
        <v>127</v>
      </c>
      <c r="C49" s="28" t="s">
        <v>115</v>
      </c>
      <c r="D49" s="26" t="s">
        <v>123</v>
      </c>
      <c r="E49" s="26" t="s">
        <v>34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47"/>
      <c r="R49" s="30" t="s">
        <v>35</v>
      </c>
    </row>
    <row r="50" customFormat="false" ht="18" hidden="false" customHeight="true" outlineLevel="0" collapsed="false">
      <c r="A50" s="26" t="s">
        <v>128</v>
      </c>
      <c r="B50" s="27" t="s">
        <v>129</v>
      </c>
      <c r="C50" s="28" t="s">
        <v>32</v>
      </c>
      <c r="D50" s="26" t="s">
        <v>123</v>
      </c>
      <c r="E50" s="26" t="s">
        <v>34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47"/>
      <c r="R50" s="30" t="s">
        <v>35</v>
      </c>
    </row>
    <row r="51" customFormat="false" ht="18" hidden="false" customHeight="true" outlineLevel="0" collapsed="false">
      <c r="A51" s="26" t="s">
        <v>130</v>
      </c>
      <c r="B51" s="27" t="s">
        <v>131</v>
      </c>
      <c r="C51" s="28" t="s">
        <v>32</v>
      </c>
      <c r="D51" s="26" t="s">
        <v>123</v>
      </c>
      <c r="E51" s="26" t="s">
        <v>34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47"/>
      <c r="R51" s="30" t="s">
        <v>35</v>
      </c>
    </row>
    <row r="52" customFormat="false" ht="18" hidden="false" customHeight="true" outlineLevel="0" collapsed="false">
      <c r="A52" s="31" t="s">
        <v>132</v>
      </c>
      <c r="B52" s="32" t="s">
        <v>133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4" t="s">
        <v>47</v>
      </c>
      <c r="R52" s="35" t="s">
        <v>35</v>
      </c>
    </row>
  </sheetData>
  <mergeCells count="18">
    <mergeCell ref="A1:R1"/>
    <mergeCell ref="A2:R2"/>
    <mergeCell ref="A4:B4"/>
    <mergeCell ref="C4:D4"/>
    <mergeCell ref="E4:F4"/>
    <mergeCell ref="G4:H4"/>
    <mergeCell ref="I4:J4"/>
    <mergeCell ref="K4:L4"/>
    <mergeCell ref="M4:N4"/>
    <mergeCell ref="O4:P4"/>
    <mergeCell ref="Q4:R4"/>
    <mergeCell ref="A6:R6"/>
    <mergeCell ref="A12:R12"/>
    <mergeCell ref="A19:R19"/>
    <mergeCell ref="A26:R26"/>
    <mergeCell ref="A32:R32"/>
    <mergeCell ref="A40:R40"/>
    <mergeCell ref="A46:R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25"/>
    <col collapsed="false" customWidth="true" hidden="false" outlineLevel="0" max="6" min="6" style="1" width="12"/>
  </cols>
  <sheetData>
    <row r="1" customFormat="false" ht="25.5" hidden="false" customHeight="true" outlineLevel="0" collapsed="false">
      <c r="A1" s="48" t="s">
        <v>134</v>
      </c>
      <c r="B1" s="48"/>
      <c r="C1" s="48"/>
      <c r="D1" s="48"/>
      <c r="E1" s="48"/>
      <c r="F1" s="48"/>
    </row>
    <row r="2" customFormat="false" ht="7.5" hidden="false" customHeight="true" outlineLevel="0" collapsed="false"/>
    <row r="3" customFormat="false" ht="19.5" hidden="false" customHeight="true" outlineLevel="0" collapsed="false">
      <c r="A3" s="49" t="s">
        <v>135</v>
      </c>
      <c r="B3" s="49" t="s">
        <v>136</v>
      </c>
      <c r="C3" s="49" t="s">
        <v>137</v>
      </c>
      <c r="D3" s="49" t="s">
        <v>138</v>
      </c>
      <c r="E3" s="49" t="s">
        <v>139</v>
      </c>
      <c r="F3" s="49" t="s">
        <v>28</v>
      </c>
    </row>
    <row r="4" customFormat="false" ht="54.75" hidden="false" customHeight="true" outlineLevel="0" collapsed="false">
      <c r="A4" s="50" t="s">
        <v>45</v>
      </c>
      <c r="B4" s="51" t="s">
        <v>140</v>
      </c>
      <c r="C4" s="52" t="s">
        <v>141</v>
      </c>
      <c r="D4" s="27" t="s">
        <v>142</v>
      </c>
      <c r="E4" s="53" t="s">
        <v>143</v>
      </c>
      <c r="F4" s="54" t="s">
        <v>35</v>
      </c>
    </row>
    <row r="5" customFormat="false" ht="54.75" hidden="false" customHeight="true" outlineLevel="0" collapsed="false">
      <c r="A5" s="50" t="s">
        <v>61</v>
      </c>
      <c r="B5" s="51" t="s">
        <v>144</v>
      </c>
      <c r="C5" s="52" t="s">
        <v>145</v>
      </c>
      <c r="D5" s="27" t="s">
        <v>146</v>
      </c>
      <c r="E5" s="53" t="s">
        <v>147</v>
      </c>
      <c r="F5" s="54" t="s">
        <v>35</v>
      </c>
    </row>
    <row r="6" customFormat="false" ht="54.75" hidden="false" customHeight="true" outlineLevel="0" collapsed="false">
      <c r="A6" s="50" t="s">
        <v>75</v>
      </c>
      <c r="B6" s="51" t="s">
        <v>148</v>
      </c>
      <c r="C6" s="52" t="s">
        <v>149</v>
      </c>
      <c r="D6" s="27" t="s">
        <v>150</v>
      </c>
      <c r="E6" s="53" t="s">
        <v>151</v>
      </c>
      <c r="F6" s="54" t="s">
        <v>35</v>
      </c>
    </row>
    <row r="7" customFormat="false" ht="54.75" hidden="false" customHeight="true" outlineLevel="0" collapsed="false">
      <c r="A7" s="50" t="s">
        <v>87</v>
      </c>
      <c r="B7" s="51" t="s">
        <v>152</v>
      </c>
      <c r="C7" s="52" t="s">
        <v>149</v>
      </c>
      <c r="D7" s="27" t="s">
        <v>153</v>
      </c>
      <c r="E7" s="53" t="s">
        <v>154</v>
      </c>
      <c r="F7" s="54" t="s">
        <v>35</v>
      </c>
    </row>
    <row r="8" customFormat="false" ht="54.75" hidden="false" customHeight="true" outlineLevel="0" collapsed="false">
      <c r="A8" s="50" t="s">
        <v>102</v>
      </c>
      <c r="B8" s="51" t="s">
        <v>155</v>
      </c>
      <c r="C8" s="52" t="s">
        <v>156</v>
      </c>
      <c r="D8" s="27" t="s">
        <v>157</v>
      </c>
      <c r="E8" s="53" t="s">
        <v>158</v>
      </c>
      <c r="F8" s="54" t="s">
        <v>35</v>
      </c>
    </row>
    <row r="9" customFormat="false" ht="54.75" hidden="false" customHeight="true" outlineLevel="0" collapsed="false">
      <c r="A9" s="50" t="s">
        <v>104</v>
      </c>
      <c r="B9" s="51" t="s">
        <v>159</v>
      </c>
      <c r="C9" s="52" t="s">
        <v>160</v>
      </c>
      <c r="D9" s="27" t="s">
        <v>161</v>
      </c>
      <c r="E9" s="53" t="s">
        <v>162</v>
      </c>
      <c r="F9" s="54" t="s">
        <v>35</v>
      </c>
    </row>
    <row r="10" customFormat="false" ht="54.75" hidden="false" customHeight="true" outlineLevel="0" collapsed="false">
      <c r="A10" s="50" t="s">
        <v>132</v>
      </c>
      <c r="B10" s="51" t="s">
        <v>163</v>
      </c>
      <c r="C10" s="52" t="s">
        <v>164</v>
      </c>
      <c r="D10" s="27" t="s">
        <v>165</v>
      </c>
      <c r="E10" s="53" t="s">
        <v>166</v>
      </c>
      <c r="F10" s="54" t="s">
        <v>35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4" min="3" style="1" width="7"/>
    <col collapsed="false" customWidth="true" hidden="false" outlineLevel="0" max="15" min="15" style="1" width="10"/>
  </cols>
  <sheetData>
    <row r="1" customFormat="false" ht="25.5" hidden="false" customHeight="true" outlineLevel="0" collapsed="false">
      <c r="A1" s="48" t="s">
        <v>167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customFormat="false" ht="13.5" hidden="false" customHeight="true" outlineLevel="0" collapsed="false">
      <c r="A2" s="55" t="s">
        <v>168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customFormat="false" ht="6" hidden="false" customHeight="true" outlineLevel="0" collapsed="false"/>
    <row r="4" customFormat="false" ht="30" hidden="false" customHeight="true" outlineLevel="0" collapsed="false">
      <c r="A4" s="15" t="s">
        <v>169</v>
      </c>
      <c r="B4" s="13" t="s">
        <v>170</v>
      </c>
      <c r="C4" s="16" t="s">
        <v>16</v>
      </c>
      <c r="D4" s="16" t="s">
        <v>17</v>
      </c>
      <c r="E4" s="16" t="s">
        <v>18</v>
      </c>
      <c r="F4" s="16" t="s">
        <v>19</v>
      </c>
      <c r="G4" s="16" t="s">
        <v>20</v>
      </c>
      <c r="H4" s="16" t="s">
        <v>21</v>
      </c>
      <c r="I4" s="16" t="s">
        <v>22</v>
      </c>
      <c r="J4" s="16" t="s">
        <v>23</v>
      </c>
      <c r="K4" s="16" t="s">
        <v>24</v>
      </c>
      <c r="L4" s="16" t="s">
        <v>25</v>
      </c>
      <c r="M4" s="16" t="s">
        <v>26</v>
      </c>
      <c r="N4" s="16" t="s">
        <v>27</v>
      </c>
      <c r="O4" s="15" t="s">
        <v>171</v>
      </c>
    </row>
    <row r="5" customFormat="false" ht="21.75" hidden="false" customHeight="true" outlineLevel="0" collapsed="false">
      <c r="A5" s="20" t="s">
        <v>172</v>
      </c>
      <c r="B5" s="56" t="s">
        <v>173</v>
      </c>
      <c r="C5" s="57" t="s">
        <v>174</v>
      </c>
      <c r="D5" s="57" t="s">
        <v>174</v>
      </c>
      <c r="E5" s="57" t="s">
        <v>174</v>
      </c>
      <c r="F5" s="57" t="s">
        <v>174</v>
      </c>
      <c r="G5" s="57" t="s">
        <v>174</v>
      </c>
      <c r="H5" s="57" t="s">
        <v>174</v>
      </c>
      <c r="I5" s="57" t="s">
        <v>174</v>
      </c>
      <c r="J5" s="57" t="s">
        <v>174</v>
      </c>
      <c r="K5" s="57" t="s">
        <v>174</v>
      </c>
      <c r="L5" s="57" t="s">
        <v>174</v>
      </c>
      <c r="M5" s="57" t="s">
        <v>174</v>
      </c>
      <c r="N5" s="57" t="s">
        <v>174</v>
      </c>
      <c r="O5" s="58" t="s">
        <v>175</v>
      </c>
    </row>
    <row r="6" customFormat="false" ht="21.75" hidden="false" customHeight="true" outlineLevel="0" collapsed="false">
      <c r="A6" s="20" t="s">
        <v>176</v>
      </c>
      <c r="B6" s="56" t="s">
        <v>173</v>
      </c>
      <c r="C6" s="57" t="s">
        <v>174</v>
      </c>
      <c r="D6" s="57" t="s">
        <v>174</v>
      </c>
      <c r="E6" s="57" t="s">
        <v>174</v>
      </c>
      <c r="F6" s="57" t="s">
        <v>174</v>
      </c>
      <c r="G6" s="57" t="s">
        <v>174</v>
      </c>
      <c r="H6" s="57" t="s">
        <v>174</v>
      </c>
      <c r="I6" s="57" t="s">
        <v>174</v>
      </c>
      <c r="J6" s="57" t="s">
        <v>174</v>
      </c>
      <c r="K6" s="57" t="s">
        <v>174</v>
      </c>
      <c r="L6" s="57" t="s">
        <v>174</v>
      </c>
      <c r="M6" s="57" t="s">
        <v>174</v>
      </c>
      <c r="N6" s="57" t="s">
        <v>174</v>
      </c>
      <c r="O6" s="58" t="s">
        <v>175</v>
      </c>
    </row>
    <row r="7" customFormat="false" ht="21.75" hidden="false" customHeight="true" outlineLevel="0" collapsed="false">
      <c r="A7" s="20" t="s">
        <v>177</v>
      </c>
      <c r="B7" s="56" t="s">
        <v>173</v>
      </c>
      <c r="C7" s="57" t="s">
        <v>174</v>
      </c>
      <c r="D7" s="57" t="s">
        <v>174</v>
      </c>
      <c r="E7" s="57" t="s">
        <v>174</v>
      </c>
      <c r="F7" s="57" t="s">
        <v>174</v>
      </c>
      <c r="G7" s="57" t="s">
        <v>174</v>
      </c>
      <c r="H7" s="57" t="s">
        <v>174</v>
      </c>
      <c r="I7" s="57" t="s">
        <v>174</v>
      </c>
      <c r="J7" s="57" t="s">
        <v>174</v>
      </c>
      <c r="K7" s="57" t="s">
        <v>174</v>
      </c>
      <c r="L7" s="57" t="s">
        <v>174</v>
      </c>
      <c r="M7" s="57" t="s">
        <v>174</v>
      </c>
      <c r="N7" s="57" t="s">
        <v>174</v>
      </c>
      <c r="O7" s="58" t="s">
        <v>175</v>
      </c>
    </row>
    <row r="8" customFormat="false" ht="21.75" hidden="false" customHeight="true" outlineLevel="0" collapsed="false">
      <c r="A8" s="20" t="s">
        <v>178</v>
      </c>
      <c r="B8" s="56" t="s">
        <v>173</v>
      </c>
      <c r="C8" s="59" t="s">
        <v>179</v>
      </c>
      <c r="D8" s="59" t="s">
        <v>179</v>
      </c>
      <c r="E8" s="59" t="s">
        <v>179</v>
      </c>
      <c r="F8" s="59" t="s">
        <v>179</v>
      </c>
      <c r="G8" s="57" t="s">
        <v>174</v>
      </c>
      <c r="H8" s="57" t="s">
        <v>174</v>
      </c>
      <c r="I8" s="57" t="s">
        <v>174</v>
      </c>
      <c r="J8" s="57" t="s">
        <v>174</v>
      </c>
      <c r="K8" s="57" t="s">
        <v>174</v>
      </c>
      <c r="L8" s="57" t="s">
        <v>174</v>
      </c>
      <c r="M8" s="57" t="s">
        <v>174</v>
      </c>
      <c r="N8" s="60" t="s">
        <v>179</v>
      </c>
      <c r="O8" s="58" t="s">
        <v>175</v>
      </c>
    </row>
    <row r="9" customFormat="false" ht="21.75" hidden="false" customHeight="true" outlineLevel="0" collapsed="false">
      <c r="A9" s="20" t="s">
        <v>180</v>
      </c>
      <c r="B9" s="56" t="s">
        <v>173</v>
      </c>
      <c r="C9" s="57" t="s">
        <v>174</v>
      </c>
      <c r="D9" s="57" t="s">
        <v>174</v>
      </c>
      <c r="E9" s="57" t="s">
        <v>174</v>
      </c>
      <c r="F9" s="57" t="s">
        <v>174</v>
      </c>
      <c r="G9" s="57" t="s">
        <v>174</v>
      </c>
      <c r="H9" s="57" t="s">
        <v>174</v>
      </c>
      <c r="I9" s="57" t="s">
        <v>174</v>
      </c>
      <c r="J9" s="57" t="s">
        <v>174</v>
      </c>
      <c r="K9" s="57" t="s">
        <v>174</v>
      </c>
      <c r="L9" s="57" t="s">
        <v>174</v>
      </c>
      <c r="M9" s="57" t="s">
        <v>174</v>
      </c>
      <c r="N9" s="57" t="s">
        <v>174</v>
      </c>
      <c r="O9" s="58" t="s">
        <v>175</v>
      </c>
    </row>
    <row r="10" customFormat="false" ht="21.75" hidden="false" customHeight="true" outlineLevel="0" collapsed="false">
      <c r="A10" s="20" t="s">
        <v>181</v>
      </c>
      <c r="B10" s="56" t="s">
        <v>173</v>
      </c>
      <c r="C10" s="59" t="s">
        <v>179</v>
      </c>
      <c r="D10" s="59" t="s">
        <v>179</v>
      </c>
      <c r="E10" s="59" t="s">
        <v>179</v>
      </c>
      <c r="F10" s="59" t="s">
        <v>179</v>
      </c>
      <c r="G10" s="57" t="s">
        <v>174</v>
      </c>
      <c r="H10" s="57" t="s">
        <v>174</v>
      </c>
      <c r="I10" s="57" t="s">
        <v>174</v>
      </c>
      <c r="J10" s="57" t="s">
        <v>174</v>
      </c>
      <c r="K10" s="57" t="s">
        <v>174</v>
      </c>
      <c r="L10" s="57" t="s">
        <v>174</v>
      </c>
      <c r="M10" s="57" t="s">
        <v>174</v>
      </c>
      <c r="N10" s="59" t="s">
        <v>179</v>
      </c>
      <c r="O10" s="58" t="s">
        <v>175</v>
      </c>
    </row>
    <row r="11" customFormat="false" ht="21.75" hidden="false" customHeight="true" outlineLevel="0" collapsed="false">
      <c r="A11" s="61" t="s">
        <v>182</v>
      </c>
      <c r="B11" s="62" t="s">
        <v>183</v>
      </c>
      <c r="C11" s="63" t="s">
        <v>184</v>
      </c>
      <c r="D11" s="63" t="s">
        <v>184</v>
      </c>
      <c r="E11" s="63" t="s">
        <v>184</v>
      </c>
      <c r="F11" s="63" t="s">
        <v>184</v>
      </c>
      <c r="G11" s="63" t="s">
        <v>184</v>
      </c>
      <c r="H11" s="63" t="s">
        <v>184</v>
      </c>
      <c r="I11" s="63" t="s">
        <v>184</v>
      </c>
      <c r="J11" s="63" t="s">
        <v>184</v>
      </c>
      <c r="K11" s="63" t="s">
        <v>184</v>
      </c>
      <c r="L11" s="63" t="s">
        <v>184</v>
      </c>
      <c r="M11" s="63" t="s">
        <v>184</v>
      </c>
      <c r="N11" s="63" t="s">
        <v>184</v>
      </c>
      <c r="O11" s="63" t="s">
        <v>175</v>
      </c>
    </row>
    <row r="12" customFormat="false" ht="21.75" hidden="false" customHeight="true" outlineLevel="0" collapsed="false">
      <c r="A12" s="61" t="s">
        <v>185</v>
      </c>
      <c r="B12" s="62" t="s">
        <v>183</v>
      </c>
      <c r="C12" s="64" t="s">
        <v>186</v>
      </c>
      <c r="D12" s="64" t="s">
        <v>186</v>
      </c>
      <c r="E12" s="64" t="s">
        <v>186</v>
      </c>
      <c r="F12" s="64" t="s">
        <v>186</v>
      </c>
      <c r="G12" s="64" t="s">
        <v>186</v>
      </c>
      <c r="H12" s="64" t="s">
        <v>186</v>
      </c>
      <c r="I12" s="64" t="s">
        <v>186</v>
      </c>
      <c r="J12" s="64" t="s">
        <v>186</v>
      </c>
      <c r="K12" s="64" t="s">
        <v>186</v>
      </c>
      <c r="L12" s="64" t="s">
        <v>186</v>
      </c>
      <c r="M12" s="64" t="s">
        <v>186</v>
      </c>
      <c r="N12" s="64" t="s">
        <v>186</v>
      </c>
      <c r="O12" s="63" t="s">
        <v>175</v>
      </c>
    </row>
    <row r="13" customFormat="false" ht="21.75" hidden="false" customHeight="true" outlineLevel="0" collapsed="false">
      <c r="A13" s="61" t="s">
        <v>187</v>
      </c>
      <c r="B13" s="62" t="s">
        <v>183</v>
      </c>
      <c r="C13" s="64" t="s">
        <v>188</v>
      </c>
      <c r="D13" s="64" t="s">
        <v>188</v>
      </c>
      <c r="E13" s="64" t="s">
        <v>189</v>
      </c>
      <c r="F13" s="64" t="s">
        <v>189</v>
      </c>
      <c r="G13" s="64" t="s">
        <v>189</v>
      </c>
      <c r="H13" s="64" t="s">
        <v>189</v>
      </c>
      <c r="I13" s="63" t="s">
        <v>184</v>
      </c>
      <c r="J13" s="64" t="s">
        <v>189</v>
      </c>
      <c r="K13" s="64" t="s">
        <v>189</v>
      </c>
      <c r="L13" s="64" t="s">
        <v>189</v>
      </c>
      <c r="M13" s="63" t="s">
        <v>184</v>
      </c>
      <c r="N13" s="64" t="s">
        <v>189</v>
      </c>
      <c r="O13" s="63" t="s">
        <v>175</v>
      </c>
    </row>
    <row r="14" customFormat="false" ht="21.75" hidden="false" customHeight="true" outlineLevel="0" collapsed="false">
      <c r="A14" s="65" t="s">
        <v>190</v>
      </c>
      <c r="B14" s="66" t="s">
        <v>191</v>
      </c>
      <c r="C14" s="60" t="s">
        <v>192</v>
      </c>
      <c r="D14" s="60" t="s">
        <v>192</v>
      </c>
      <c r="E14" s="60" t="s">
        <v>192</v>
      </c>
      <c r="F14" s="60" t="s">
        <v>192</v>
      </c>
      <c r="G14" s="60" t="s">
        <v>192</v>
      </c>
      <c r="H14" s="64" t="s">
        <v>193</v>
      </c>
      <c r="I14" s="64" t="s">
        <v>188</v>
      </c>
      <c r="J14" s="64" t="s">
        <v>193</v>
      </c>
      <c r="K14" s="60" t="s">
        <v>192</v>
      </c>
      <c r="L14" s="60" t="s">
        <v>192</v>
      </c>
      <c r="M14" s="64" t="s">
        <v>188</v>
      </c>
      <c r="N14" s="64" t="s">
        <v>186</v>
      </c>
      <c r="O14" s="67" t="s">
        <v>194</v>
      </c>
    </row>
    <row r="15" customFormat="false" ht="21.75" hidden="false" customHeight="true" outlineLevel="0" collapsed="false"/>
    <row r="16" customFormat="false" ht="21.75" hidden="false" customHeight="true" outlineLevel="0" collapsed="false"/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8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0"/>
    <col collapsed="false" customWidth="true" hidden="false" outlineLevel="0" max="6" min="6" style="1" width="14"/>
  </cols>
  <sheetData>
    <row r="1" customFormat="false" ht="25.5" hidden="false" customHeight="true" outlineLevel="0" collapsed="false">
      <c r="A1" s="48" t="s">
        <v>195</v>
      </c>
      <c r="B1" s="48"/>
      <c r="C1" s="48"/>
      <c r="D1" s="48"/>
      <c r="E1" s="48"/>
      <c r="F1" s="48"/>
    </row>
    <row r="2" customFormat="false" ht="7.5" hidden="false" customHeight="true" outlineLevel="0" collapsed="false"/>
    <row r="3" customFormat="false" ht="19.5" hidden="false" customHeight="true" outlineLevel="0" collapsed="false">
      <c r="A3" s="49" t="s">
        <v>11</v>
      </c>
      <c r="B3" s="49" t="s">
        <v>196</v>
      </c>
      <c r="C3" s="49" t="s">
        <v>13</v>
      </c>
      <c r="D3" s="49" t="s">
        <v>197</v>
      </c>
      <c r="E3" s="49" t="s">
        <v>198</v>
      </c>
      <c r="F3" s="49" t="s">
        <v>199</v>
      </c>
    </row>
    <row r="4" customFormat="false" ht="18" hidden="false" customHeight="true" outlineLevel="0" collapsed="false">
      <c r="A4" s="18" t="s">
        <v>200</v>
      </c>
      <c r="B4" s="18"/>
      <c r="C4" s="18"/>
      <c r="D4" s="18"/>
      <c r="E4" s="18"/>
      <c r="F4" s="18"/>
    </row>
    <row r="5" customFormat="false" ht="54.75" hidden="false" customHeight="true" outlineLevel="0" collapsed="false">
      <c r="A5" s="68" t="s">
        <v>30</v>
      </c>
      <c r="B5" s="27" t="s">
        <v>201</v>
      </c>
      <c r="C5" s="69" t="s">
        <v>202</v>
      </c>
      <c r="D5" s="70" t="s">
        <v>203</v>
      </c>
      <c r="E5" s="53" t="s">
        <v>204</v>
      </c>
      <c r="F5" s="71" t="n">
        <v>3500</v>
      </c>
    </row>
    <row r="6" customFormat="false" ht="54.75" hidden="false" customHeight="true" outlineLevel="0" collapsed="false">
      <c r="A6" s="72" t="s">
        <v>36</v>
      </c>
      <c r="B6" s="51" t="s">
        <v>205</v>
      </c>
      <c r="C6" s="73" t="s">
        <v>206</v>
      </c>
      <c r="D6" s="70" t="s">
        <v>203</v>
      </c>
      <c r="E6" s="74" t="s">
        <v>207</v>
      </c>
      <c r="F6" s="75" t="n">
        <v>2500</v>
      </c>
    </row>
    <row r="7" customFormat="false" ht="54.75" hidden="false" customHeight="true" outlineLevel="0" collapsed="false">
      <c r="A7" s="68" t="s">
        <v>39</v>
      </c>
      <c r="B7" s="27" t="s">
        <v>208</v>
      </c>
      <c r="C7" s="69" t="s">
        <v>209</v>
      </c>
      <c r="D7" s="70" t="s">
        <v>210</v>
      </c>
      <c r="E7" s="53" t="s">
        <v>211</v>
      </c>
      <c r="F7" s="71" t="n">
        <v>5000</v>
      </c>
    </row>
    <row r="8" customFormat="false" ht="18" hidden="false" customHeight="true" outlineLevel="0" collapsed="false">
      <c r="A8" s="76" t="s">
        <v>212</v>
      </c>
      <c r="B8" s="76"/>
      <c r="C8" s="76"/>
      <c r="D8" s="76"/>
      <c r="E8" s="76"/>
      <c r="F8" s="76"/>
    </row>
    <row r="9" customFormat="false" ht="54.75" hidden="false" customHeight="true" outlineLevel="0" collapsed="false">
      <c r="A9" s="68" t="s">
        <v>49</v>
      </c>
      <c r="B9" s="27" t="s">
        <v>213</v>
      </c>
      <c r="C9" s="69" t="s">
        <v>214</v>
      </c>
      <c r="D9" s="70" t="s">
        <v>215</v>
      </c>
      <c r="E9" s="53" t="s">
        <v>216</v>
      </c>
      <c r="F9" s="71" t="n">
        <v>8000</v>
      </c>
    </row>
    <row r="10" customFormat="false" ht="54.75" hidden="false" customHeight="true" outlineLevel="0" collapsed="false">
      <c r="A10" s="72" t="s">
        <v>52</v>
      </c>
      <c r="B10" s="51" t="s">
        <v>217</v>
      </c>
      <c r="C10" s="73" t="s">
        <v>218</v>
      </c>
      <c r="D10" s="70" t="s">
        <v>219</v>
      </c>
      <c r="E10" s="74" t="s">
        <v>220</v>
      </c>
      <c r="F10" s="75" t="n">
        <v>6000</v>
      </c>
    </row>
    <row r="11" customFormat="false" ht="54.75" hidden="false" customHeight="true" outlineLevel="0" collapsed="false">
      <c r="A11" s="68" t="s">
        <v>54</v>
      </c>
      <c r="B11" s="27" t="s">
        <v>221</v>
      </c>
      <c r="C11" s="69" t="s">
        <v>32</v>
      </c>
      <c r="D11" s="70" t="s">
        <v>219</v>
      </c>
      <c r="E11" s="53" t="s">
        <v>222</v>
      </c>
      <c r="F11" s="71" t="n">
        <v>1000</v>
      </c>
    </row>
    <row r="12" customFormat="false" ht="18" hidden="false" customHeight="true" outlineLevel="0" collapsed="false">
      <c r="A12" s="76" t="s">
        <v>223</v>
      </c>
      <c r="B12" s="76"/>
      <c r="C12" s="76"/>
      <c r="D12" s="76"/>
      <c r="E12" s="76"/>
      <c r="F12" s="76"/>
    </row>
    <row r="13" customFormat="false" ht="54.75" hidden="false" customHeight="true" outlineLevel="0" collapsed="false">
      <c r="A13" s="68" t="s">
        <v>64</v>
      </c>
      <c r="B13" s="27" t="s">
        <v>224</v>
      </c>
      <c r="C13" s="69" t="s">
        <v>225</v>
      </c>
      <c r="D13" s="70" t="s">
        <v>226</v>
      </c>
      <c r="E13" s="53" t="s">
        <v>227</v>
      </c>
      <c r="F13" s="71" t="n">
        <v>2000</v>
      </c>
    </row>
    <row r="14" customFormat="false" ht="54.75" hidden="false" customHeight="true" outlineLevel="0" collapsed="false">
      <c r="A14" s="72" t="s">
        <v>67</v>
      </c>
      <c r="B14" s="51" t="s">
        <v>228</v>
      </c>
      <c r="C14" s="73" t="s">
        <v>214</v>
      </c>
      <c r="D14" s="70" t="s">
        <v>229</v>
      </c>
      <c r="E14" s="74" t="s">
        <v>230</v>
      </c>
      <c r="F14" s="75" t="n">
        <v>15000</v>
      </c>
    </row>
    <row r="15" customFormat="false" ht="54.75" hidden="false" customHeight="true" outlineLevel="0" collapsed="false">
      <c r="A15" s="68" t="s">
        <v>69</v>
      </c>
      <c r="B15" s="27" t="s">
        <v>231</v>
      </c>
      <c r="C15" s="69" t="s">
        <v>232</v>
      </c>
      <c r="D15" s="70" t="s">
        <v>102</v>
      </c>
      <c r="E15" s="53" t="s">
        <v>233</v>
      </c>
      <c r="F15" s="71" t="n">
        <v>3000</v>
      </c>
    </row>
    <row r="16" customFormat="false" ht="18" hidden="false" customHeight="true" outlineLevel="0" collapsed="false">
      <c r="A16" s="76" t="s">
        <v>234</v>
      </c>
      <c r="B16" s="76"/>
      <c r="C16" s="76"/>
      <c r="D16" s="76"/>
      <c r="E16" s="76"/>
      <c r="F16" s="76"/>
    </row>
    <row r="17" customFormat="false" ht="54.75" hidden="false" customHeight="true" outlineLevel="0" collapsed="false">
      <c r="A17" s="68" t="s">
        <v>78</v>
      </c>
      <c r="B17" s="27" t="s">
        <v>235</v>
      </c>
      <c r="C17" s="69" t="s">
        <v>236</v>
      </c>
      <c r="D17" s="70" t="s">
        <v>237</v>
      </c>
      <c r="E17" s="53" t="s">
        <v>238</v>
      </c>
      <c r="F17" s="71" t="n">
        <v>35000</v>
      </c>
    </row>
    <row r="18" customFormat="false" ht="18" hidden="false" customHeight="true" outlineLevel="0" collapsed="false">
      <c r="A18" s="76" t="s">
        <v>239</v>
      </c>
      <c r="B18" s="76"/>
      <c r="C18" s="76"/>
      <c r="D18" s="76"/>
      <c r="E18" s="76"/>
      <c r="F18" s="76"/>
    </row>
    <row r="19" customFormat="false" ht="54.75" hidden="false" customHeight="true" outlineLevel="0" collapsed="false">
      <c r="A19" s="68" t="s">
        <v>90</v>
      </c>
      <c r="B19" s="27" t="s">
        <v>240</v>
      </c>
      <c r="C19" s="69" t="s">
        <v>241</v>
      </c>
      <c r="D19" s="70" t="s">
        <v>242</v>
      </c>
      <c r="E19" s="53" t="s">
        <v>243</v>
      </c>
      <c r="F19" s="71" t="n">
        <v>30000</v>
      </c>
    </row>
    <row r="20" customFormat="false" ht="54.75" hidden="false" customHeight="true" outlineLevel="0" collapsed="false">
      <c r="A20" s="72" t="s">
        <v>94</v>
      </c>
      <c r="B20" s="51" t="s">
        <v>244</v>
      </c>
      <c r="C20" s="73" t="s">
        <v>92</v>
      </c>
      <c r="D20" s="70" t="s">
        <v>245</v>
      </c>
      <c r="E20" s="74" t="s">
        <v>246</v>
      </c>
      <c r="F20" s="75" t="n">
        <v>5000</v>
      </c>
    </row>
    <row r="21" customFormat="false" ht="54.75" hidden="false" customHeight="true" outlineLevel="0" collapsed="false">
      <c r="A21" s="68" t="s">
        <v>96</v>
      </c>
      <c r="B21" s="27" t="s">
        <v>247</v>
      </c>
      <c r="C21" s="69" t="s">
        <v>248</v>
      </c>
      <c r="D21" s="70" t="s">
        <v>249</v>
      </c>
      <c r="E21" s="53" t="s">
        <v>250</v>
      </c>
      <c r="F21" s="71" t="n">
        <v>3000</v>
      </c>
    </row>
    <row r="22" customFormat="false" ht="18" hidden="false" customHeight="true" outlineLevel="0" collapsed="false">
      <c r="A22" s="76" t="s">
        <v>251</v>
      </c>
      <c r="B22" s="76"/>
      <c r="C22" s="76"/>
      <c r="D22" s="76"/>
      <c r="E22" s="76"/>
      <c r="F22" s="76"/>
    </row>
    <row r="23" customFormat="false" ht="54.75" hidden="false" customHeight="true" outlineLevel="0" collapsed="false">
      <c r="A23" s="68" t="s">
        <v>107</v>
      </c>
      <c r="B23" s="27" t="s">
        <v>252</v>
      </c>
      <c r="C23" s="69" t="s">
        <v>253</v>
      </c>
      <c r="D23" s="70" t="s">
        <v>210</v>
      </c>
      <c r="E23" s="53" t="s">
        <v>254</v>
      </c>
      <c r="F23" s="71" t="n">
        <v>22500</v>
      </c>
    </row>
    <row r="24" customFormat="false" ht="54.75" hidden="false" customHeight="true" outlineLevel="0" collapsed="false">
      <c r="A24" s="72" t="s">
        <v>110</v>
      </c>
      <c r="B24" s="51" t="s">
        <v>255</v>
      </c>
      <c r="C24" s="73" t="s">
        <v>38</v>
      </c>
      <c r="D24" s="70" t="s">
        <v>210</v>
      </c>
      <c r="E24" s="74" t="s">
        <v>256</v>
      </c>
      <c r="F24" s="75" t="n">
        <v>10000</v>
      </c>
    </row>
    <row r="25" customFormat="false" ht="18" hidden="false" customHeight="true" outlineLevel="0" collapsed="false">
      <c r="A25" s="76" t="s">
        <v>257</v>
      </c>
      <c r="B25" s="76"/>
      <c r="C25" s="76"/>
      <c r="D25" s="76"/>
      <c r="E25" s="76"/>
      <c r="F25" s="76"/>
    </row>
    <row r="26" customFormat="false" ht="54.75" hidden="false" customHeight="true" outlineLevel="0" collapsed="false">
      <c r="A26" s="72" t="s">
        <v>121</v>
      </c>
      <c r="B26" s="51" t="s">
        <v>258</v>
      </c>
      <c r="C26" s="73" t="s">
        <v>259</v>
      </c>
      <c r="D26" s="70" t="s">
        <v>260</v>
      </c>
      <c r="E26" s="74" t="s">
        <v>261</v>
      </c>
      <c r="F26" s="75" t="n">
        <v>5000</v>
      </c>
    </row>
    <row r="27" customFormat="false" ht="54.75" hidden="false" customHeight="true" outlineLevel="0" collapsed="false">
      <c r="A27" s="68" t="s">
        <v>124</v>
      </c>
      <c r="B27" s="27" t="s">
        <v>262</v>
      </c>
      <c r="C27" s="69" t="s">
        <v>263</v>
      </c>
      <c r="D27" s="70" t="s">
        <v>264</v>
      </c>
      <c r="E27" s="53" t="s">
        <v>265</v>
      </c>
      <c r="F27" s="71" t="n">
        <v>5000</v>
      </c>
    </row>
    <row r="28" customFormat="false" ht="54.75" hidden="false" customHeight="true" outlineLevel="0" collapsed="false">
      <c r="A28" s="72" t="s">
        <v>126</v>
      </c>
      <c r="B28" s="51" t="s">
        <v>266</v>
      </c>
      <c r="C28" s="73" t="s">
        <v>267</v>
      </c>
      <c r="D28" s="70" t="s">
        <v>264</v>
      </c>
      <c r="E28" s="74" t="s">
        <v>268</v>
      </c>
      <c r="F28" s="75" t="n">
        <v>10000</v>
      </c>
    </row>
    <row r="29" customFormat="false" ht="15" hidden="false" customHeight="false" outlineLevel="0" collapsed="false">
      <c r="A29" s="77" t="s">
        <v>269</v>
      </c>
      <c r="B29" s="78"/>
      <c r="C29" s="78"/>
      <c r="D29" s="79"/>
      <c r="E29" s="80"/>
      <c r="F29" s="77" t="n">
        <f aca="false">SUM(F5:F28)</f>
        <v>171500</v>
      </c>
    </row>
    <row r="30" customFormat="false" ht="45" hidden="false" customHeight="true" outlineLevel="0" collapsed="false">
      <c r="A30" s="81" t="s">
        <v>270</v>
      </c>
      <c r="B30" s="81"/>
      <c r="C30" s="81"/>
      <c r="D30" s="81"/>
      <c r="E30" s="81"/>
      <c r="F30" s="81"/>
    </row>
  </sheetData>
  <mergeCells count="9">
    <mergeCell ref="A1:F1"/>
    <mergeCell ref="A4:F4"/>
    <mergeCell ref="A8:F8"/>
    <mergeCell ref="A12:F12"/>
    <mergeCell ref="A16:F16"/>
    <mergeCell ref="A18:F18"/>
    <mergeCell ref="A22:F22"/>
    <mergeCell ref="A25:F25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2026-06-30T15:27:32Z</dcterms:created>
  <dc:creator>openpyxl</dc:creator>
  <dc:description/>
  <dc:language>en-US</dc:language>
  <cp:lastModifiedBy/>
  <dcterms:modified xsi:type="dcterms:W3CDTF">2026-07-02T08:30:56Z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